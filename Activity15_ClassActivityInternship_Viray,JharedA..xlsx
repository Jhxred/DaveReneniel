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JTSummarized" sheetId="1" r:id="rId5"/>
    <sheet state="visible" name="Pivot Table 3" sheetId="2" r:id="rId6"/>
    <sheet state="visible" name="Pivot Table 2" sheetId="3" r:id="rId7"/>
    <sheet state="visible" name="Descriptive Statistics" sheetId="4" r:id="rId8"/>
    <sheet state="visible" name="Excel Functions" sheetId="5" r:id="rId9"/>
    <sheet state="visible" name="Data Analysis Output" sheetId="6" r:id="rId10"/>
    <sheet state="visible" name="Activity 15 - Descriptive Stats" sheetId="7" r:id="rId11"/>
    <sheet state="visible" name="Platform Comparison" sheetId="8" r:id="rId12"/>
  </sheets>
  <definedNames>
    <definedName hidden="1" localSheetId="0" name="_xlnm._FilterDatabase">OJTSummarized!$A$2:$AW$84</definedName>
  </definedNames>
  <calcPr/>
  <pivotCaches>
    <pivotCache cacheId="0" r:id="rId13"/>
  </pivotCaches>
</workbook>
</file>

<file path=xl/sharedStrings.xml><?xml version="1.0" encoding="utf-8"?>
<sst xmlns="http://schemas.openxmlformats.org/spreadsheetml/2006/main" count="651" uniqueCount="255">
  <si>
    <t>Monitoring and Performance</t>
  </si>
  <si>
    <t>Monitoring and Observation</t>
  </si>
  <si>
    <t>Professional Behavior</t>
  </si>
  <si>
    <t>Professional Relations</t>
  </si>
  <si>
    <t>Professional Performance</t>
  </si>
  <si>
    <t>Professional Knowledege</t>
  </si>
  <si>
    <t>Attitude</t>
  </si>
  <si>
    <t>Knowledge and Skills</t>
  </si>
  <si>
    <t>Group Incharge</t>
  </si>
  <si>
    <t>Host Training Establishment</t>
  </si>
  <si>
    <t>Mode of Delivery</t>
  </si>
  <si>
    <t>Section</t>
  </si>
  <si>
    <t>Name of Student Intern</t>
  </si>
  <si>
    <t>Attendance</t>
  </si>
  <si>
    <t>A.Quality of Work</t>
  </si>
  <si>
    <t>B. Punctuality &amp; Time Management</t>
  </si>
  <si>
    <t>C. Team Collaboration &amp; Communication</t>
  </si>
  <si>
    <t>MP Sum</t>
  </si>
  <si>
    <t>A. Adaptability and Learning</t>
  </si>
  <si>
    <t>B. Professionalism &amp; Attitude</t>
  </si>
  <si>
    <t>MO SUm</t>
  </si>
  <si>
    <t>IMEF Sum</t>
  </si>
  <si>
    <t>A. professional appearance</t>
  </si>
  <si>
    <t>B. Seeks responsibility</t>
  </si>
  <si>
    <t>C. Demonstrates initiative</t>
  </si>
  <si>
    <t>D. Dependently</t>
  </si>
  <si>
    <t>E. Accepts direction and constructive criticism</t>
  </si>
  <si>
    <t>F. Ability to work independently</t>
  </si>
  <si>
    <t>G. Motivation</t>
  </si>
  <si>
    <t>H.    Resourcefulness</t>
  </si>
  <si>
    <t>A. Rapport with staff</t>
  </si>
  <si>
    <t xml:space="preserve"> B. Interaction with the public</t>
  </si>
  <si>
    <t>C. Understands the need of clients</t>
  </si>
  <si>
    <t>D. Ability to plan for clients needs</t>
  </si>
  <si>
    <t>E. Adaptability</t>
  </si>
  <si>
    <t>A. Planning and organizing work schedule</t>
  </si>
  <si>
    <t>B. Judgement</t>
  </si>
  <si>
    <t>C. Task accomplishment</t>
  </si>
  <si>
    <t>D. Oral communication</t>
  </si>
  <si>
    <t>E. Written communication</t>
  </si>
  <si>
    <t>F. Evaltuation, self-improvement</t>
  </si>
  <si>
    <t>G. Leadershiip ability</t>
  </si>
  <si>
    <t>H. Quantity of work</t>
  </si>
  <si>
    <t>I. Quality of work</t>
  </si>
  <si>
    <t>A. Understanding of agency's goals and operations</t>
  </si>
  <si>
    <t>B. Knowledge of field or industry</t>
  </si>
  <si>
    <t>Over all rating of intern/student trainee's performance</t>
  </si>
  <si>
    <t>A. Regularity in attendance/reporting</t>
  </si>
  <si>
    <t>B. Timeliness in the submission of reports</t>
  </si>
  <si>
    <t>C. Social relation with practicum</t>
  </si>
  <si>
    <t>A. Sense of responsibility</t>
  </si>
  <si>
    <t>B. Level of interest</t>
  </si>
  <si>
    <t>C. Level of cooperation</t>
  </si>
  <si>
    <t>A. Mastery of the nature work</t>
  </si>
  <si>
    <t>B. Quality of work/report</t>
  </si>
  <si>
    <t>C. Physical and mental alertness</t>
  </si>
  <si>
    <t>Total</t>
  </si>
  <si>
    <t>Frequency</t>
  </si>
  <si>
    <t>Percentage</t>
  </si>
  <si>
    <t>Group 1</t>
  </si>
  <si>
    <t>BSIT 4A</t>
  </si>
  <si>
    <t>University of Kratie</t>
  </si>
  <si>
    <t>Online</t>
  </si>
  <si>
    <t>Arenas, Christian S.</t>
  </si>
  <si>
    <t>BSIT 4B</t>
  </si>
  <si>
    <t>BSIT 4C</t>
  </si>
  <si>
    <t>Onsite</t>
  </si>
  <si>
    <t>Management Information System</t>
  </si>
  <si>
    <t>Blas, Ivan Justine L.</t>
  </si>
  <si>
    <t>Hybrid</t>
  </si>
  <si>
    <t>Accounting Service, Philippine Army</t>
  </si>
  <si>
    <t>Ameticia Digital Marketing</t>
  </si>
  <si>
    <t>APCargo Logistic Network Corporation</t>
  </si>
  <si>
    <t>Asia Source College Inc.</t>
  </si>
  <si>
    <t>Asiapro Multipurpose Cooperative</t>
  </si>
  <si>
    <t>BASC - CA-GS Library</t>
  </si>
  <si>
    <t>Schools Division Office of City of Baliwag</t>
  </si>
  <si>
    <t>BASC - CoE</t>
  </si>
  <si>
    <t>Garlan, John Patrick Dr.</t>
  </si>
  <si>
    <t>BASC - IAS</t>
  </si>
  <si>
    <t>BASC - IVM</t>
  </si>
  <si>
    <t>BASC - IPTBMO</t>
  </si>
  <si>
    <t>BASC - Main Library</t>
  </si>
  <si>
    <t>BASC - College Registar</t>
  </si>
  <si>
    <t>BASC - Public Affairs and Information Office</t>
  </si>
  <si>
    <t>Bitag Multimedia Network</t>
  </si>
  <si>
    <t>Buildnet Construction Inc.</t>
  </si>
  <si>
    <t>Payawal, Ronaldo F.</t>
  </si>
  <si>
    <t>Aquino, Carl Angelo L.</t>
  </si>
  <si>
    <t>Arunas, Joseph Dominic B.</t>
  </si>
  <si>
    <t>Baro, Marlon M.</t>
  </si>
  <si>
    <t>YML group Outsource Manila Inc</t>
  </si>
  <si>
    <t>Bernardo, Jayvee L.</t>
  </si>
  <si>
    <t>Buco, Christian Dave O.</t>
  </si>
  <si>
    <t>WT Mirgmo Systems Inc.</t>
  </si>
  <si>
    <t>Dumlao, Aljohn P.</t>
  </si>
  <si>
    <t>COUNTA of Section</t>
  </si>
  <si>
    <t>N/A</t>
  </si>
  <si>
    <t>Grand Total</t>
  </si>
  <si>
    <t>Flores, John Patrick D.</t>
  </si>
  <si>
    <t>Intellectual Property and Technology Business Management Office</t>
  </si>
  <si>
    <t>Francisco, Alvin P.</t>
  </si>
  <si>
    <t>Garcia, Nicole C.</t>
  </si>
  <si>
    <t>Mempin, Jerome C.</t>
  </si>
  <si>
    <t>Milosantos, Raiza B.</t>
  </si>
  <si>
    <t>Mulato, Cooline T.</t>
  </si>
  <si>
    <t>Grass Residences Condominium Corporation</t>
  </si>
  <si>
    <t xml:space="preserve">Orbigoso, Angelito </t>
  </si>
  <si>
    <t>AVERAGE of A.Quality of Work</t>
  </si>
  <si>
    <t>Inspiro Relia Inc.</t>
  </si>
  <si>
    <t>Osmillo, Tiffany Jane S.M.</t>
  </si>
  <si>
    <t>Palma, Kyle Marc C.</t>
  </si>
  <si>
    <t>Piczon, Francesca V.</t>
  </si>
  <si>
    <t>Panrama Technologies Enterprises</t>
  </si>
  <si>
    <t>Purificacion, John Kenrick N.</t>
  </si>
  <si>
    <t>Tianes, Ivy May D.</t>
  </si>
  <si>
    <t>Tiglao, John Mark S,</t>
  </si>
  <si>
    <t>Vergara, Kristel Kate B.</t>
  </si>
  <si>
    <t>Statistic</t>
  </si>
  <si>
    <t>Excel Formula</t>
  </si>
  <si>
    <t>Purpose</t>
  </si>
  <si>
    <t>Count</t>
  </si>
  <si>
    <t>Columns</t>
  </si>
  <si>
    <t>Rows</t>
  </si>
  <si>
    <t>Values</t>
  </si>
  <si>
    <t>Number of numeric responses</t>
  </si>
  <si>
    <t>Mean</t>
  </si>
  <si>
    <t>Arithmetic average</t>
  </si>
  <si>
    <t>Standard Error</t>
  </si>
  <si>
    <t>Precision of the sample mean</t>
  </si>
  <si>
    <t>Moriroku Philippines Inc</t>
  </si>
  <si>
    <t>Median</t>
  </si>
  <si>
    <t>Laurente, Ivan F.</t>
  </si>
  <si>
    <t>Middle value</t>
  </si>
  <si>
    <t>Mode</t>
  </si>
  <si>
    <t>Most frequent value</t>
  </si>
  <si>
    <t>Standard Deviation</t>
  </si>
  <si>
    <t>Spread around the mean</t>
  </si>
  <si>
    <t>I-Ride Mototranspo Urban or Passenger Land Transportation</t>
  </si>
  <si>
    <t>INTERNSHIP PERFORMANCE RATING</t>
  </si>
  <si>
    <t>Sample Variance</t>
  </si>
  <si>
    <t>Serrano, Giff D.</t>
  </si>
  <si>
    <t>Squared sample standard deviation</t>
  </si>
  <si>
    <t>Kurtosis</t>
  </si>
  <si>
    <t>Distribution tail/peak shape</t>
  </si>
  <si>
    <t>Skewness</t>
  </si>
  <si>
    <t>Distribution asymmetry</t>
  </si>
  <si>
    <t>Domingo, Earl Gerald D.</t>
  </si>
  <si>
    <t>Range</t>
  </si>
  <si>
    <t>Highest minus lowest</t>
  </si>
  <si>
    <t>Mendoza, Christian Gabriel D.</t>
  </si>
  <si>
    <t>Minimum</t>
  </si>
  <si>
    <t>Lowest value</t>
  </si>
  <si>
    <t>Maximum</t>
  </si>
  <si>
    <t>Social Security System (Dilima Branch)</t>
  </si>
  <si>
    <t>Padao, Rene Vincent A.</t>
  </si>
  <si>
    <t>Highest value</t>
  </si>
  <si>
    <t>Sum</t>
  </si>
  <si>
    <t>Total of numeric responses</t>
  </si>
  <si>
    <t>Mercader, Wynnie</t>
  </si>
  <si>
    <t xml:space="preserve">Castro, Geoffrey Z. </t>
  </si>
  <si>
    <t>Mendoza, Kristian C.</t>
  </si>
  <si>
    <t>Group 2</t>
  </si>
  <si>
    <t>Martin, Vince Erickson V.</t>
  </si>
  <si>
    <t>Malonga, Emmanuel D.</t>
  </si>
  <si>
    <t>INTERNSHIP FEEDBACK MECHANISM</t>
  </si>
  <si>
    <t>LBC Express INC.</t>
  </si>
  <si>
    <t>Mananog, Kim Cedrick S.</t>
  </si>
  <si>
    <t xml:space="preserve">Villegas, Jhon Lorenz </t>
  </si>
  <si>
    <t>National Irregation Administration - Regional Office</t>
  </si>
  <si>
    <t>Delos Reyes, Ma. Luis V</t>
  </si>
  <si>
    <t>Velarde, Wendell D.</t>
  </si>
  <si>
    <t>Saciangco, Jimuel D.S</t>
  </si>
  <si>
    <t>Sanchez, Aubrey Joy F.</t>
  </si>
  <si>
    <t>Peralta, Demitri Ivan I.</t>
  </si>
  <si>
    <t>Dela Paz,Jean C.</t>
  </si>
  <si>
    <t>JNRM Corporation</t>
  </si>
  <si>
    <t>Rance, Mikko Brian U.</t>
  </si>
  <si>
    <t>Hiraya Technology Solutions INC.</t>
  </si>
  <si>
    <t>Purisima, Diana Jean M.</t>
  </si>
  <si>
    <t>INTERNSHIP MONITORING AND EVALUATION</t>
  </si>
  <si>
    <t>Arlantico, Angel Lou I.</t>
  </si>
  <si>
    <t>Nabong, Athens Maverick F.</t>
  </si>
  <si>
    <t>Trosco, John Garby V.</t>
  </si>
  <si>
    <t>BASC-ICS</t>
  </si>
  <si>
    <t>Mirandilla, John Maynad V.</t>
  </si>
  <si>
    <t xml:space="preserve">Castor, Rusty </t>
  </si>
  <si>
    <t>Bayan, Roel S.</t>
  </si>
  <si>
    <t>Cruz, Mark Anthony B.</t>
  </si>
  <si>
    <t>San Miguel District Hospital</t>
  </si>
  <si>
    <t>Samaniego, Paula Mae S.</t>
  </si>
  <si>
    <t>Quizon, Kier S.</t>
  </si>
  <si>
    <t>De Guzman, Jame V.</t>
  </si>
  <si>
    <t>Violla, John Louie L.</t>
  </si>
  <si>
    <t xml:space="preserve">
BASC - Public Affairs and Information Office</t>
  </si>
  <si>
    <t>Sevilla , Jhon Kenneth A.</t>
  </si>
  <si>
    <t>Samuel I. Mitra Asia Source I College Inc.</t>
  </si>
  <si>
    <t>Viola, Misna Camille Ann Y.</t>
  </si>
  <si>
    <t>DOST-ITDI</t>
  </si>
  <si>
    <t>Dela Rosa, Arwyn Troie T.</t>
  </si>
  <si>
    <t>Gimeno, Kylle Dave M.</t>
  </si>
  <si>
    <t>EGIS Projects Philippines</t>
  </si>
  <si>
    <t>Miranda, Jim Aeron</t>
  </si>
  <si>
    <t>Metacom Buisness Process Outsourcing Solution INC.</t>
  </si>
  <si>
    <t>Gitana, Trisha DC.</t>
  </si>
  <si>
    <t>"Accounting Service, Philippine Army"</t>
  </si>
  <si>
    <t>Bulandi, Jessa A.</t>
  </si>
  <si>
    <t>Performance Rating</t>
  </si>
  <si>
    <t>end Softech Solution</t>
  </si>
  <si>
    <t>Feedback Mechanism</t>
  </si>
  <si>
    <t>Arcuino, Jose Miguel F.</t>
  </si>
  <si>
    <t>Monitoring and Evaluation</t>
  </si>
  <si>
    <t>Garcia, Micheal Aldrin A.</t>
  </si>
  <si>
    <t>Gamboa, John Michael V.</t>
  </si>
  <si>
    <t>Cruz, Precious Angel DG.</t>
  </si>
  <si>
    <t>96..6%</t>
  </si>
  <si>
    <t>Santiago, Lyca Mae E.</t>
  </si>
  <si>
    <t>Comahig, Iszeide Steven Aurio L.</t>
  </si>
  <si>
    <t>Lazaro, Art Reigniel C.</t>
  </si>
  <si>
    <t>Mayores, Cris Lloyd Y.</t>
  </si>
  <si>
    <t>Dela Cruz, Jimp Murphy C.</t>
  </si>
  <si>
    <t>Lumabe, Marc Harvie V.</t>
  </si>
  <si>
    <t>ACTIVITY 15: DESCRIPTIVE STATISTICS</t>
  </si>
  <si>
    <t>Internship Performance Rating</t>
  </si>
  <si>
    <t>Internship Feedback Mechanism</t>
  </si>
  <si>
    <t>Internship Monitoring and Evaluation</t>
  </si>
  <si>
    <t>Number of responses</t>
  </si>
  <si>
    <t>Gencys Digital Trading INC.</t>
  </si>
  <si>
    <t>Dimla, Ma. Cristina Jora M.</t>
  </si>
  <si>
    <t>Alberto, Carlo Jay P.</t>
  </si>
  <si>
    <t>Bachiller, Yuri Y.</t>
  </si>
  <si>
    <t>Ecotanim, Rendel Joseph P.</t>
  </si>
  <si>
    <t>Standard deviation (sample)</t>
  </si>
  <si>
    <t>Valenin IT services</t>
  </si>
  <si>
    <t>Buensuceso, Erica Joy D.</t>
  </si>
  <si>
    <t>Variance (sample)</t>
  </si>
  <si>
    <t>Castro, John Reed A.</t>
  </si>
  <si>
    <t>Gudoy, Angela Aira Marie A.</t>
  </si>
  <si>
    <t xml:space="preserve">Centeno, Jastin Ivan D. </t>
  </si>
  <si>
    <t>Espiritu, Jeza Rose DO.</t>
  </si>
  <si>
    <t>Standard error</t>
  </si>
  <si>
    <t>Mangaluz, Zyra P.</t>
  </si>
  <si>
    <r>
      <rPr>
        <rFont val="Arial"/>
        <color theme="1"/>
      </rPr>
      <t xml:space="preserve">The internship performance rating obtained a </t>
    </r>
    <r>
      <rPr>
        <rFont val="Arial"/>
        <b/>
        <color theme="1"/>
      </rPr>
      <t>mean of 8.05</t>
    </r>
    <r>
      <rPr>
        <rFont val="Arial"/>
        <color theme="1"/>
      </rPr>
      <t xml:space="preserve"> and a </t>
    </r>
    <r>
      <rPr>
        <rFont val="Arial"/>
        <b/>
        <color theme="1"/>
      </rPr>
      <t>median of 8.00</t>
    </r>
    <r>
      <rPr>
        <rFont val="Arial"/>
        <color theme="1"/>
      </rPr>
      <t>, indicating that the average and middle scores are relatively high. The</t>
    </r>
    <r>
      <rPr>
        <rFont val="Arial"/>
        <b/>
        <color theme="1"/>
      </rPr>
      <t xml:space="preserve"> standard deviation of 1.41</t>
    </r>
    <r>
      <rPr>
        <rFont val="Arial"/>
        <color theme="1"/>
      </rPr>
      <t xml:space="preserve"> shows a moderate variation in the respondents' ratings, while the</t>
    </r>
    <r>
      <rPr>
        <rFont val="Arial"/>
        <b/>
        <color theme="1"/>
      </rPr>
      <t xml:space="preserve"> range of 5</t>
    </r>
    <r>
      <rPr>
        <rFont val="Arial"/>
        <color theme="1"/>
      </rPr>
      <t xml:space="preserve"> indicates a difference between the</t>
    </r>
    <r>
      <rPr>
        <rFont val="Arial"/>
        <b/>
        <color theme="1"/>
      </rPr>
      <t xml:space="preserve"> lowest score of 5</t>
    </r>
    <r>
      <rPr>
        <rFont val="Arial"/>
        <color theme="1"/>
      </rPr>
      <t xml:space="preserve"> and the </t>
    </r>
    <r>
      <rPr>
        <rFont val="Arial"/>
        <b/>
        <color theme="1"/>
      </rPr>
      <t>highest score of 10</t>
    </r>
    <r>
      <rPr>
        <rFont val="Arial"/>
        <color theme="1"/>
      </rPr>
      <t xml:space="preserve">. The </t>
    </r>
    <r>
      <rPr>
        <rFont val="Arial"/>
        <b/>
        <color theme="1"/>
      </rPr>
      <t>kurtosis of -0.92</t>
    </r>
    <r>
      <rPr>
        <rFont val="Arial"/>
        <color theme="1"/>
      </rPr>
      <t xml:space="preserve"> suggests that the distribution is flatter than a normal distribution, while the </t>
    </r>
    <r>
      <rPr>
        <rFont val="Arial"/>
        <b/>
        <color theme="1"/>
      </rPr>
      <t>skewness of -0.46</t>
    </r>
    <r>
      <rPr>
        <rFont val="Arial"/>
        <color theme="1"/>
      </rPr>
      <t xml:space="preserve"> indicates a slightly negatively skewed distribution, meaning the scores have a longer tail toward the lower values. Overall, the results suggest that the interns generally received high performance ratings, although some respondents gave lower scores than others.</t>
    </r>
  </si>
  <si>
    <t>The internship feedback mechanism received a mean of 3.88 and a median of 4.00, showing that most respondents gave positive ratings. The standard deviation of 0.71 indicates that the responses were fairly close to the average. The range of 3 means that the ratings varied from 2 to 5. The kurtosis of -0.50 suggests a flatter distribution, while the skewness of -0.03 indicates that the responses were almost evenly distributed. Overall, the results show that respondents were generally satisfied with the internship feedback process, but there is still room for improvement.</t>
  </si>
  <si>
    <t>The internship monitoring and evaluation domain had a mean of 16.38 and a median of 17.00, showing that the typical score was slightly higher than the average. The standard deviation of 2.42 indicates some differences in respondents’ scores, while the range of 9 shows that scores went from 11 to 20. The kurtosis of -1.03 suggests a flatter distribution, while the skewness of -0.58 indicates that more scores were toward the higher end. Overall, the results show that respondents generally received high scores in internship monitoring and evaluation, although their experiences and assessments were not exactly the same.</t>
  </si>
  <si>
    <t>COMPARISON: GOOGLE SHEETS VS MICROSOFT EXCEL</t>
  </si>
  <si>
    <t>Platform</t>
  </si>
  <si>
    <t>Advantages</t>
  </si>
  <si>
    <t>Disadvantages</t>
  </si>
  <si>
    <t>Google Sheets</t>
  </si>
  <si>
    <t>Google Sheets is free with a Google account and allows easy real-time collaboration. Group members can view edits and comments, while changes are automatically saved to Google Drive. It also supports statistical functions like AVERAGE, MEDIAN, MODE, STDEV.S, VAR.S, MIN, and MAX. Since it works directly in a web browser, it is convenient and accessible from different devices.</t>
  </si>
  <si>
    <t>Works best with an internet connection, although offline access is available when enabled. Handling large datasets or complicated analyses may sometimes be slower. It also has fewer advanced statistical features than Excel, and some formulas or formatting may change when opening Excel files.</t>
  </si>
  <si>
    <t>Microsoft Excel</t>
  </si>
  <si>
    <t>Offers advanced statistical functions and the Data Analysis ToolPak for detailed analysis. It can manage large datasets and complex workbooks efficiently. It also supports various formulas, charts, PivotTables, and formatting options. Excel works offline and is commonly used for data analysis and reporting.</t>
  </si>
  <si>
    <t>A paid license or subscription may be needed to access all features. Sharing separate file copies can make collaboration and tracking changes more difficult. The Data Analysis ToolPak may also require manual activation, and beginners might find some tools and settings complicated to use.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</si>
</sst>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rgb="FF000000"/>
      <name val="Arial"/>
    </font>
    <font>
      <sz val="10.0"/>
      <color theme="1"/>
      <name val="Arial"/>
    </font>
    <font>
      <b/>
      <sz val="10.0"/>
      <color theme="1"/>
      <name val="Arial"/>
    </font>
    <font/>
    <font>
      <color theme="1"/>
      <name val="Arial"/>
      <scheme val="minor"/>
    </font>
    <font>
      <color theme="1"/>
      <name val="Arial"/>
    </font>
    <font>
      <sz val="10.0"/>
      <color rgb="FF434343"/>
      <name val="Roboto"/>
    </font>
    <font>
      <b/>
      <sz val="14.0"/>
      <color theme="1"/>
      <name val="Arial"/>
    </font>
    <font>
      <b/>
      <color theme="1"/>
      <name val="Arial"/>
    </font>
  </fonts>
  <fills count="19">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E06666"/>
        <bgColor rgb="FFE06666"/>
      </patternFill>
    </fill>
    <fill>
      <patternFill patternType="solid">
        <fgColor rgb="FF1155CC"/>
        <bgColor rgb="FF1155CC"/>
      </patternFill>
    </fill>
    <fill>
      <patternFill patternType="solid">
        <fgColor theme="4"/>
        <bgColor theme="4"/>
      </patternFill>
    </fill>
    <fill>
      <patternFill patternType="solid">
        <fgColor rgb="FF9FC5E8"/>
        <bgColor rgb="FF9FC5E8"/>
      </patternFill>
    </fill>
    <fill>
      <patternFill patternType="solid">
        <fgColor rgb="FFCC4125"/>
        <bgColor rgb="FFCC4125"/>
      </patternFill>
    </fill>
    <fill>
      <patternFill patternType="solid">
        <fgColor theme="6"/>
        <bgColor theme="6"/>
      </patternFill>
    </fill>
    <fill>
      <patternFill patternType="solid">
        <fgColor theme="0"/>
        <bgColor theme="0"/>
      </patternFill>
    </fill>
    <fill>
      <patternFill patternType="solid">
        <fgColor rgb="FF4A86E8"/>
        <bgColor rgb="FF4A86E8"/>
      </patternFill>
    </fill>
    <fill>
      <patternFill patternType="solid">
        <fgColor rgb="FF0000FF"/>
        <bgColor rgb="FF0000FF"/>
      </patternFill>
    </fill>
    <fill>
      <patternFill patternType="solid">
        <fgColor rgb="FFF9CB9C"/>
        <bgColor rgb="FFF9CB9C"/>
      </patternFill>
    </fill>
    <fill>
      <patternFill patternType="solid">
        <fgColor rgb="FFA4C2F4"/>
        <bgColor rgb="FFA4C2F4"/>
      </patternFill>
    </fill>
    <fill>
      <patternFill patternType="solid">
        <fgColor rgb="FFD5A6BD"/>
        <bgColor rgb="FFD5A6BD"/>
      </patternFill>
    </fill>
    <fill>
      <patternFill patternType="solid">
        <fgColor rgb="FFDD7E6B"/>
        <bgColor rgb="FFDD7E6B"/>
      </patternFill>
    </fill>
    <fill>
      <patternFill patternType="solid">
        <fgColor rgb="FFCC0000"/>
        <bgColor rgb="FFCC0000"/>
      </patternFill>
    </fill>
  </fills>
  <borders count="11">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style="thin">
        <color rgb="FF999999"/>
      </left>
      <top style="thin">
        <color rgb="FFFFFFFF"/>
      </top>
    </border>
    <border>
      <left style="thin">
        <color rgb="FFFFFFFF"/>
      </left>
      <top style="thin">
        <color rgb="FFFFFFFF"/>
      </top>
    </border>
    <border>
      <left style="thin">
        <color rgb="FFFFFFFF"/>
      </left>
      <right style="thin">
        <color rgb="FF999999"/>
      </right>
      <top style="thin">
        <color rgb="FFFFFFFF"/>
      </top>
    </border>
    <border>
      <left style="thin">
        <color rgb="FF999999"/>
      </left>
      <top style="thin">
        <color rgb="FFFFFFFF"/>
      </top>
      <bottom style="thin">
        <color rgb="FF999999"/>
      </bottom>
    </border>
    <border>
      <left style="thin">
        <color rgb="FFFFFFFF"/>
      </left>
      <top style="thin">
        <color rgb="FFFFFFFF"/>
      </top>
      <bottom style="thin">
        <color rgb="FF999999"/>
      </bottom>
    </border>
    <border>
      <left style="thin">
        <color rgb="FFFFFFFF"/>
      </left>
      <right style="thin">
        <color rgb="FF999999"/>
      </right>
      <top style="thin">
        <color rgb="FFFFFFFF"/>
      </top>
      <bottom style="thin">
        <color rgb="FF999999"/>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wrapText="1"/>
    </xf>
    <xf borderId="0" fillId="0" fontId="3" numFmtId="0" xfId="0" applyAlignment="1" applyFont="1">
      <alignment horizontal="center" shrinkToFit="0" wrapText="1"/>
    </xf>
    <xf borderId="1" fillId="2" fontId="3" numFmtId="2" xfId="0" applyAlignment="1" applyBorder="1" applyFill="1" applyFont="1" applyNumberFormat="1">
      <alignment horizontal="center" shrinkToFit="0" wrapText="1"/>
    </xf>
    <xf borderId="2" fillId="3" fontId="3" numFmtId="0" xfId="0" applyAlignment="1" applyBorder="1" applyFill="1" applyFont="1">
      <alignment horizontal="center" shrinkToFit="0" wrapText="1"/>
    </xf>
    <xf borderId="3" fillId="0" fontId="4" numFmtId="0" xfId="0" applyBorder="1" applyFont="1"/>
    <xf borderId="2" fillId="4" fontId="3" numFmtId="0" xfId="0" applyAlignment="1" applyBorder="1" applyFill="1" applyFont="1">
      <alignment horizontal="center"/>
    </xf>
    <xf borderId="2" fillId="5" fontId="3" numFmtId="0" xfId="0" applyAlignment="1" applyBorder="1" applyFill="1" applyFont="1">
      <alignment horizontal="center"/>
    </xf>
    <xf borderId="0" fillId="0" fontId="3" numFmtId="0" xfId="0" applyAlignment="1" applyFont="1">
      <alignment horizontal="center"/>
    </xf>
    <xf borderId="1" fillId="6" fontId="3" numFmtId="0" xfId="0" applyAlignment="1" applyBorder="1" applyFill="1" applyFont="1">
      <alignment horizontal="center"/>
    </xf>
    <xf borderId="0" fillId="0" fontId="2" numFmtId="0" xfId="0" applyFont="1"/>
    <xf borderId="1" fillId="3" fontId="3" numFmtId="0" xfId="0" applyAlignment="1" applyBorder="1" applyFill="1" applyFont="1">
      <alignment horizontal="center" shrinkToFit="0" wrapText="1"/>
    </xf>
    <xf borderId="1" fillId="7" fontId="3" numFmtId="0" xfId="0" applyAlignment="1" applyBorder="1" applyFill="1" applyFont="1">
      <alignment horizontal="center" shrinkToFit="0" wrapText="1"/>
    </xf>
    <xf borderId="1" fillId="3" fontId="3" numFmtId="0" xfId="0" applyAlignment="1" applyBorder="1" applyFill="1" applyFont="1">
      <alignment shrinkToFit="0" wrapText="1"/>
    </xf>
    <xf borderId="1" fillId="4" fontId="3" numFmtId="0" xfId="0" applyAlignment="1" applyBorder="1" applyFill="1" applyFont="1">
      <alignment shrinkToFit="0" wrapText="1"/>
    </xf>
    <xf borderId="1" fillId="4" fontId="3" numFmtId="0" xfId="0" applyAlignment="1" applyBorder="1" applyFill="1" applyFont="1">
      <alignment horizontal="center" shrinkToFit="0" vertical="center" wrapText="1"/>
    </xf>
    <xf borderId="1" fillId="4" fontId="3" numFmtId="0" xfId="0" applyAlignment="1" applyBorder="1" applyFill="1" applyFont="1">
      <alignment horizontal="center"/>
    </xf>
    <xf borderId="1" fillId="5" fontId="3" numFmtId="0" xfId="0" applyAlignment="1" applyBorder="1" applyFill="1" applyFont="1">
      <alignment shrinkToFit="0" wrapText="1"/>
    </xf>
    <xf borderId="1" fillId="5" fontId="3" numFmtId="0" xfId="0" applyBorder="1" applyFill="1" applyFont="1"/>
    <xf borderId="1" fillId="8" fontId="3" numFmtId="0" xfId="0" applyAlignment="1" applyBorder="1" applyFill="1" applyFont="1">
      <alignment shrinkToFit="0" wrapText="1"/>
    </xf>
    <xf borderId="1" fillId="9" fontId="3" numFmtId="0" xfId="0" applyAlignment="1" applyBorder="1" applyFill="1" applyFont="1">
      <alignment shrinkToFit="0" wrapText="1"/>
    </xf>
    <xf borderId="1" fillId="10" fontId="3" numFmtId="0" xfId="0" applyAlignment="1" applyBorder="1" applyFill="1" applyFont="1">
      <alignment shrinkToFit="0" wrapText="1"/>
    </xf>
    <xf borderId="0" fillId="0" fontId="3" numFmtId="0" xfId="0" applyAlignment="1" applyFont="1">
      <alignment shrinkToFit="0" wrapText="1"/>
    </xf>
    <xf borderId="1" fillId="6" fontId="3" numFmtId="0" xfId="0" applyAlignment="1" applyBorder="1" applyFill="1" applyFont="1">
      <alignment horizontal="center" shrinkToFit="0" wrapText="1"/>
    </xf>
    <xf borderId="0" fillId="0" fontId="3" numFmtId="0" xfId="0" applyFont="1"/>
    <xf borderId="4" fillId="0" fontId="3" numFmtId="0" xfId="0" applyBorder="1" applyFont="1"/>
    <xf borderId="0" fillId="0" fontId="2" numFmtId="0" xfId="0" applyAlignment="1" applyFont="1">
      <alignment shrinkToFit="0" wrapText="1"/>
    </xf>
    <xf borderId="4" fillId="0" fontId="2" numFmtId="0" xfId="0" applyBorder="1" applyFont="1"/>
    <xf borderId="4" fillId="0" fontId="2" numFmtId="10" xfId="0" applyBorder="1" applyFont="1" applyNumberFormat="1"/>
    <xf borderId="0" fillId="0" fontId="2" numFmtId="0" xfId="0" applyAlignment="1" applyFont="1">
      <alignment horizontal="right" shrinkToFit="0" wrapText="1"/>
    </xf>
    <xf borderId="1" fillId="2" fontId="2" numFmtId="2" xfId="0" applyAlignment="1" applyBorder="1" applyFill="1" applyFont="1" applyNumberFormat="1">
      <alignment horizontal="right" shrinkToFit="0" wrapText="1"/>
    </xf>
    <xf borderId="0" fillId="0" fontId="2" numFmtId="2" xfId="0" applyAlignment="1" applyFont="1" applyNumberFormat="1">
      <alignment horizontal="right" shrinkToFit="0" wrapText="1"/>
    </xf>
    <xf borderId="1" fillId="3" fontId="2" numFmtId="0" xfId="0" applyAlignment="1" applyBorder="1" applyFill="1" applyFont="1">
      <alignment horizontal="right" shrinkToFit="0" wrapText="1"/>
    </xf>
    <xf borderId="1" fillId="7" fontId="2" numFmtId="0" xfId="0" applyAlignment="1" applyBorder="1" applyFill="1" applyFont="1">
      <alignment horizontal="right" shrinkToFit="0" wrapText="1"/>
    </xf>
    <xf borderId="4" fillId="0" fontId="3" numFmtId="10" xfId="0" applyBorder="1" applyFont="1" applyNumberFormat="1"/>
    <xf borderId="1" fillId="4" fontId="2" numFmtId="0" xfId="0" applyAlignment="1" applyBorder="1" applyFill="1" applyFont="1">
      <alignment horizontal="right" shrinkToFit="0" wrapText="1"/>
    </xf>
    <xf borderId="1" fillId="4" fontId="2" numFmtId="0" xfId="0" applyBorder="1" applyFill="1" applyFont="1"/>
    <xf borderId="1" fillId="5" fontId="2" numFmtId="0" xfId="0" applyBorder="1" applyFill="1" applyFont="1"/>
    <xf borderId="1" fillId="8" fontId="2" numFmtId="0" xfId="0" applyBorder="1" applyFill="1" applyFont="1"/>
    <xf borderId="1" fillId="9" fontId="2" numFmtId="0" xfId="0" applyBorder="1" applyFill="1" applyFont="1"/>
    <xf borderId="1" fillId="10" fontId="2" numFmtId="0" xfId="0" applyBorder="1" applyFill="1" applyFont="1"/>
    <xf borderId="1" fillId="6" fontId="2" numFmtId="0" xfId="0" applyAlignment="1" applyBorder="1" applyFill="1" applyFont="1">
      <alignment horizontal="center"/>
    </xf>
    <xf borderId="1" fillId="5" fontId="2" numFmtId="0" xfId="0" applyAlignment="1" applyBorder="1" applyFill="1" applyFont="1">
      <alignment horizontal="left"/>
    </xf>
    <xf borderId="0" fillId="0" fontId="5" numFmtId="0" xfId="0" applyFont="1"/>
    <xf borderId="1" fillId="11" fontId="3" numFmtId="0" xfId="0" applyAlignment="1" applyBorder="1" applyFill="1" applyFont="1">
      <alignment shrinkToFit="0" vertical="top" wrapText="1"/>
    </xf>
    <xf borderId="0" fillId="3" fontId="6" numFmtId="0" xfId="0" applyFill="1" applyFont="1"/>
    <xf borderId="0" fillId="0" fontId="1" numFmtId="0" xfId="0" applyAlignment="1" applyFont="1">
      <alignment shrinkToFit="0" vertical="top" wrapText="1"/>
    </xf>
    <xf borderId="0" fillId="3" fontId="1" numFmtId="0" xfId="0" applyAlignment="1" applyFill="1" applyFont="1">
      <alignment shrinkToFit="0" vertical="top" wrapText="1"/>
    </xf>
    <xf borderId="0" fillId="0" fontId="1" numFmtId="2" xfId="0" applyAlignment="1" applyFont="1" applyNumberFormat="1">
      <alignment shrinkToFit="0" vertical="top" wrapText="1"/>
    </xf>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10" fillId="0" fontId="1" numFmtId="0" xfId="0" applyBorder="1" applyFont="1"/>
    <xf borderId="1" fillId="3" fontId="2" numFmtId="0" xfId="0" applyBorder="1" applyFill="1" applyFont="1"/>
    <xf borderId="1" fillId="7" fontId="2" numFmtId="0" xfId="0" applyBorder="1" applyFill="1" applyFont="1"/>
    <xf borderId="0" fillId="0" fontId="1" numFmtId="1" xfId="0" applyAlignment="1" applyFont="1" applyNumberFormat="1">
      <alignment shrinkToFit="0" vertical="top" wrapText="1"/>
    </xf>
    <xf borderId="0" fillId="12" fontId="6" numFmtId="0" xfId="0" applyFill="1" applyFont="1"/>
    <xf borderId="0" fillId="12" fontId="1" numFmtId="0" xfId="0" applyAlignment="1" applyFill="1" applyFont="1">
      <alignment shrinkToFit="0" vertical="top" wrapText="1"/>
    </xf>
    <xf borderId="0" fillId="0" fontId="7" numFmtId="0" xfId="0" applyAlignment="1" applyFont="1">
      <alignment shrinkToFit="0" wrapText="1"/>
    </xf>
    <xf borderId="0" fillId="13" fontId="6" numFmtId="0" xfId="0" applyFill="1" applyFont="1"/>
    <xf borderId="0" fillId="13" fontId="1" numFmtId="0" xfId="0" applyAlignment="1" applyFill="1" applyFont="1">
      <alignment shrinkToFit="0" vertical="top" wrapText="1"/>
    </xf>
    <xf borderId="1" fillId="6" fontId="2" numFmtId="9" xfId="0" applyAlignment="1" applyBorder="1" applyFill="1" applyFont="1" applyNumberFormat="1">
      <alignment horizontal="center"/>
    </xf>
    <xf borderId="1" fillId="6" fontId="2" numFmtId="10" xfId="0" applyAlignment="1" applyBorder="1" applyFill="1" applyFont="1" applyNumberFormat="1">
      <alignment horizontal="center"/>
    </xf>
    <xf borderId="1" fillId="14" fontId="3" numFmtId="0" xfId="0" applyAlignment="1" applyBorder="1" applyFill="1" applyFont="1">
      <alignment shrinkToFit="0" vertical="top" wrapText="1"/>
    </xf>
    <xf borderId="1" fillId="15" fontId="3" numFmtId="0" xfId="0" applyAlignment="1" applyBorder="1" applyFill="1" applyFont="1">
      <alignment shrinkToFit="0" vertical="top" wrapText="1"/>
    </xf>
    <xf borderId="1" fillId="16" fontId="3" numFmtId="0" xfId="0" applyAlignment="1" applyBorder="1" applyFill="1" applyFont="1">
      <alignment shrinkToFit="0" vertical="top" wrapText="1"/>
    </xf>
    <xf borderId="0" fillId="0" fontId="8" numFmtId="0" xfId="0" applyAlignment="1" applyFont="1">
      <alignment horizontal="center" vertical="top"/>
    </xf>
    <xf borderId="0" fillId="0" fontId="9" numFmtId="0" xfId="0" applyAlignment="1" applyFont="1">
      <alignment shrinkToFit="0" vertical="center" wrapText="1"/>
    </xf>
    <xf borderId="0" fillId="0" fontId="1" numFmtId="0" xfId="0" applyAlignment="1" applyFont="1">
      <alignment vertical="top"/>
    </xf>
    <xf borderId="0" fillId="0" fontId="1" numFmtId="1" xfId="0" applyAlignment="1" applyFont="1" applyNumberFormat="1">
      <alignment vertical="top"/>
    </xf>
    <xf borderId="0" fillId="0" fontId="1" numFmtId="2" xfId="0" applyAlignment="1" applyFont="1" applyNumberFormat="1">
      <alignment vertical="top"/>
    </xf>
    <xf borderId="1" fillId="17" fontId="2" numFmtId="0" xfId="0" applyBorder="1" applyFill="1" applyFont="1"/>
    <xf borderId="1" fillId="18" fontId="2" numFmtId="0" xfId="0" applyBorder="1" applyFill="1" applyFont="1"/>
    <xf borderId="1" fillId="2" fontId="2" numFmtId="0" xfId="0" applyBorder="1" applyFill="1" applyFont="1"/>
    <xf borderId="1" fillId="13" fontId="2" numFmtId="0" xfId="0" applyAlignment="1" applyBorder="1" applyFill="1" applyFont="1">
      <alignment horizontal="center"/>
    </xf>
    <xf borderId="0" fillId="0" fontId="9" numFmtId="0" xfId="0" applyAlignment="1" applyFont="1">
      <alignment shrinkToFit="0" vertical="top" wrapText="1"/>
    </xf>
    <xf borderId="1" fillId="2" fontId="2" numFmtId="2" xfId="0" applyBorder="1" applyFill="1" applyFont="1" applyNumberFormat="1"/>
    <xf borderId="0" fillId="0" fontId="6" numFmtId="0" xfId="0" applyAlignment="1" applyFont="1">
      <alignment shrinkToFit="0" vertical="top" wrapText="1"/>
    </xf>
    <xf borderId="0" fillId="0" fontId="2" numFmtId="0" xfId="0" applyAlignment="1" applyFont="1">
      <alignment horizontal="center"/>
    </xf>
    <xf borderId="0" fillId="0" fontId="6" numFmtId="0" xfId="0" applyAlignment="1" applyFont="1">
      <alignment readingOrder="0" shrinkToFit="0" vertical="top" wrapText="1"/>
    </xf>
    <xf borderId="0" fillId="0" fontId="1" numFmtId="0" xfId="0" applyAlignment="1" applyFont="1">
      <alignment readingOrder="0" shrinkToFit="0" vertical="top" wrapText="1"/>
    </xf>
    <xf borderId="0" fillId="0" fontId="9"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BSIT Internship: Quality of Work (Section x M &amp; E)</a:t>
            </a:r>
          </a:p>
        </c:rich>
      </c:tx>
      <c:overlay val="0"/>
    </c:title>
    <c:plotArea>
      <c:layout/>
      <c:barChart>
        <c:barDir val="bar"/>
        <c:grouping val="stacked"/>
        <c:ser>
          <c:idx val="0"/>
          <c:order val="0"/>
          <c:tx>
            <c:v>Mode of Delivery Hybrid</c:v>
          </c:tx>
          <c:spPr>
            <a:solidFill>
              <a:schemeClr val="accent1"/>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3'!$B$3:$B$5</c:f>
              <c:numCache/>
            </c:numRef>
          </c:val>
        </c:ser>
        <c:ser>
          <c:idx val="1"/>
          <c:order val="1"/>
          <c:tx>
            <c:v>Mode of Delivery Online</c:v>
          </c:tx>
          <c:spPr>
            <a:solidFill>
              <a:schemeClr val="accent2"/>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3'!$C$3:$C$5</c:f>
              <c:numCache/>
            </c:numRef>
          </c:val>
        </c:ser>
        <c:ser>
          <c:idx val="2"/>
          <c:order val="2"/>
          <c:tx>
            <c:v>Mode of Delivery Onsite</c:v>
          </c:tx>
          <c:spPr>
            <a:solidFill>
              <a:schemeClr val="accent3"/>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3'!$D$3:$D$5</c:f>
              <c:numCache/>
            </c:numRef>
          </c:val>
        </c:ser>
        <c:overlap val="100"/>
        <c:axId val="991160803"/>
        <c:axId val="1061314893"/>
      </c:barChart>
      <c:catAx>
        <c:axId val="991160803"/>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Section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61314893"/>
      </c:catAx>
      <c:valAx>
        <c:axId val="10613148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991160803"/>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BSIT Internship (Mode of Delivery x Section)</a:t>
            </a:r>
          </a:p>
        </c:rich>
      </c:tx>
      <c:overlay val="0"/>
    </c:title>
    <c:plotArea>
      <c:layout/>
      <c:barChart>
        <c:barDir val="col"/>
        <c:grouping val="stacked"/>
        <c:ser>
          <c:idx val="0"/>
          <c:order val="0"/>
          <c:tx>
            <c:v>Mode of Delivery Hybrid</c:v>
          </c:tx>
          <c:spPr>
            <a:solidFill>
              <a:schemeClr val="accent1"/>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2'!$B$3:$B$5</c:f>
              <c:numCache/>
            </c:numRef>
          </c:val>
        </c:ser>
        <c:ser>
          <c:idx val="1"/>
          <c:order val="1"/>
          <c:tx>
            <c:v>Mode of Delivery Online</c:v>
          </c:tx>
          <c:spPr>
            <a:solidFill>
              <a:schemeClr val="accent2"/>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2'!$C$3:$C$5</c:f>
              <c:numCache/>
            </c:numRef>
          </c:val>
        </c:ser>
        <c:ser>
          <c:idx val="2"/>
          <c:order val="2"/>
          <c:tx>
            <c:v>Mode of Delivery Onsite</c:v>
          </c:tx>
          <c:spPr>
            <a:solidFill>
              <a:schemeClr val="accent3"/>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2'!$D$3:$D$5</c:f>
              <c:numCache/>
            </c:numRef>
          </c:val>
        </c:ser>
        <c:overlap val="100"/>
        <c:axId val="367216272"/>
        <c:axId val="276623528"/>
      </c:barChart>
      <c:catAx>
        <c:axId val="36721627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Section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76623528"/>
      </c:catAx>
      <c:valAx>
        <c:axId val="2766235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67216272"/>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Student Interns by Section</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'Descriptive Statistics'!$A$4:$A$6</c:f>
            </c:strRef>
          </c:cat>
          <c:val>
            <c:numRef>
              <c:f>'Descriptive Statistics'!$B$4:$B$6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4800600" cy="29622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190500</xdr:rowOff>
    </xdr:from>
    <xdr:ext cx="4829175" cy="29813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190500</xdr:rowOff>
    </xdr:from>
    <xdr:ext cx="3609975" cy="2228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AW84" sheet="OJTSummarized"/>
  </cacheSource>
  <cacheFields>
    <cacheField name="Host Training Establishment" numFmtId="0">
      <sharedItems>
        <s v="University of Kratie"/>
        <s v="Management Information System"/>
        <s v="Schools Division Office of City of Baliwag"/>
        <s v="YML group Outsource Manila Inc"/>
        <s v="WT Mirgmo Systems Inc."/>
        <s v="Intellectual Property and Technology Business Management Office"/>
        <s v="Ameticia Digital Marketing"/>
        <s v="BASC - IPTBMO"/>
        <s v="Grass Residences Condominium Corporation"/>
        <s v="Inspiro Relia Inc."/>
        <s v="Panrama Technologies Enterprises"/>
        <s v="APCargo Logistic Network Corporation"/>
        <s v="BASC - Public Affairs and Information Office"/>
        <s v="Moriroku Philippines Inc"/>
        <s v="I-Ride Mototranspo Urban or Passenger Land Transportation"/>
        <s v="Social Security System (Dilima Branch)"/>
        <s v="Bitag Multimedia Network"/>
        <s v="LBC Express INC."/>
        <s v="BASC - Main Library"/>
        <s v="National Irregation Administration - Regional Office"/>
        <s v="Asiapro Multipurpose Cooperative"/>
        <s v="JNRM Corporation"/>
        <s v="Hiraya Technology Solutions INC."/>
        <s v="BASC - IVM"/>
        <s v="BASC - College Registar"/>
        <s v="BASC-ICS"/>
        <s v="BASC - CA-GS Library"/>
        <s v="San Miguel District Hospital"/>
        <s v="Buildnet Construction Inc."/>
        <s v="&#10;BASC - Public Affairs and Information Office"/>
        <s v="Samuel I. Mitra Asia Source I College Inc."/>
        <s v="DOST-ITDI"/>
        <s v="EGIS Projects Philippines"/>
        <s v="Metacom Buisness Process Outsourcing Solution INC."/>
        <s v="&quot;Accounting Service, Philippine Army&quot;"/>
        <s v="end Softech Solution"/>
        <s v="Asia Source College Inc."/>
        <s v="Gencys Digital Trading INC."/>
        <s v="Valenin IT services"/>
        <s v="BASC - CoE"/>
      </sharedItems>
    </cacheField>
    <cacheField name="Mode of Delivery" numFmtId="0">
      <sharedItems>
        <s v="Online"/>
        <s v="Onsite"/>
        <s v="Hybrid"/>
      </sharedItems>
    </cacheField>
    <cacheField name="Section" numFmtId="0">
      <sharedItems>
        <s v="BSIT 4A"/>
        <s v="BSIT 4B"/>
        <s v="BSIT 4C"/>
      </sharedItems>
    </cacheField>
    <cacheField name="Name of Student Intern" numFmtId="0">
      <sharedItems>
        <s v="Arenas, Christian S."/>
        <s v="Blas, Ivan Justine L."/>
        <s v="Garlan, John Patrick Dr."/>
        <s v="Payawal, Ronaldo F."/>
        <s v="Aquino, Carl Angelo L."/>
        <s v="Arunas, Joseph Dominic B."/>
        <s v="Baro, Marlon M."/>
        <s v="Bernardo, Jayvee L."/>
        <s v="Buco, Christian Dave O."/>
        <s v="Dumlao, Aljohn P."/>
        <s v="Flores, John Patrick D."/>
        <s v="Francisco, Alvin P."/>
        <s v="Garcia, Nicole C."/>
        <s v="Mempin, Jerome C."/>
        <s v="Milosantos, Raiza B."/>
        <s v="Mulato, Cooline T."/>
        <s v="Orbigoso, Angelito "/>
        <s v="Osmillo, Tiffany Jane S.M."/>
        <s v="Palma, Kyle Marc C."/>
        <s v="Piczon, Francesca V."/>
        <s v="Purificacion, John Kenrick N."/>
        <s v="Tianes, Ivy May D."/>
        <s v="Tiglao, John Mark S,"/>
        <s v="Vergara, Kristel Kate B."/>
        <s v="Laurente, Ivan F."/>
        <s v="Serrano, Giff D."/>
        <s v="Domingo, Earl Gerald D."/>
        <s v="Mendoza, Christian Gabriel D."/>
        <s v="Padao, Rene Vincent A."/>
        <s v="Mercader, Wynnie"/>
        <s v="Castro, Geoffrey Z. "/>
        <s v="Mendoza, Kristian C."/>
        <s v="Martin, Vince Erickson V."/>
        <s v="Malonga, Emmanuel D."/>
        <s v="Mananog, Kim Cedrick S."/>
        <s v="Villegas, Jhon Lorenz "/>
        <s v="Delos Reyes, Ma. Luis V"/>
        <s v="Velarde, Wendell D."/>
        <s v="Saciangco, Jimuel D.S"/>
        <s v="Sanchez, Aubrey Joy F."/>
        <s v="Peralta, Demitri Ivan I."/>
        <s v="Dela Paz,Jean C."/>
        <s v="Rance, Mikko Brian U."/>
        <s v="Purisima, Diana Jean M."/>
        <s v="Arlantico, Angel Lou I."/>
        <s v="Nabong, Athens Maverick F."/>
        <s v="Trosco, John Garby V."/>
        <s v="Mirandilla, John Maynad V."/>
        <s v="Castor, Rusty "/>
        <s v="Bayan, Roel S."/>
        <s v="Cruz, Mark Anthony B."/>
        <s v="Samaniego, Paula Mae S."/>
        <s v="Quizon, Kier S."/>
        <s v="De Guzman, Jame V."/>
        <s v="Violla, John Louie L."/>
        <s v="Sevilla , Jhon Kenneth A."/>
        <s v="Viola, Misna Camille Ann Y."/>
        <s v="Dela Rosa, Arwyn Troie T."/>
        <s v="Gimeno, Kylle Dave M."/>
        <s v="Miranda, Jim Aeron"/>
        <s v="Gitana, Trisha DC."/>
        <s v="Bulandi, Jessa A."/>
        <s v="Arcuino, Jose Miguel F."/>
        <s v="Garcia, Micheal Aldrin A."/>
        <s v="Gamboa, John Michael V."/>
        <s v="Cruz, Precious Angel DG."/>
        <s v="Santiago, Lyca Mae E."/>
        <s v="Comahig, Iszeide Steven Aurio L."/>
        <s v="Lazaro, Art Reigniel C."/>
        <s v="Mayores, Cris Lloyd Y."/>
        <s v="Dela Cruz, Jimp Murphy C."/>
        <s v="Lumabe, Marc Harvie V."/>
        <s v="Dimla, Ma. Cristina Jora M."/>
        <s v="Alberto, Carlo Jay P."/>
        <s v="Bachiller, Yuri Y."/>
        <s v="Ecotanim, Rendel Joseph P."/>
        <s v="Buensuceso, Erica Joy D."/>
        <s v="Castro, John Reed A."/>
        <s v="Gudoy, Angela Aira Marie A."/>
        <s v="Centeno, Jastin Ivan D. "/>
        <s v="Espiritu, Jeza Rose DO."/>
        <s v="Mangaluz, Zyra P."/>
      </sharedItems>
    </cacheField>
    <cacheField name="Attendance" numFmtId="0">
      <sharedItems containsSemiMixedTypes="0" containsString="0" containsNumber="1">
        <n v="4.0"/>
        <n v="5.0"/>
        <n v="8.0"/>
        <n v="3.0"/>
        <n v="2.0"/>
        <n v="2.5"/>
      </sharedItems>
    </cacheField>
    <cacheField name="A.Quality of Work" numFmtId="0">
      <sharedItems containsSemiMixedTypes="0" containsString="0" containsNumber="1" containsInteger="1">
        <n v="3.0"/>
        <n v="4.0"/>
        <n v="5.0"/>
        <n v="2.0"/>
      </sharedItems>
    </cacheField>
    <cacheField name="B. Punctuality &amp; Time Management" numFmtId="0">
      <sharedItems containsSemiMixedTypes="0" containsString="0" containsNumber="1" containsInteger="1">
        <n v="2.0"/>
        <n v="3.0"/>
        <n v="1.0"/>
      </sharedItems>
    </cacheField>
    <cacheField name="C. Team Collaboration &amp; Communication" numFmtId="0">
      <sharedItems containsSemiMixedTypes="0" containsString="0" containsNumber="1" containsInteger="1">
        <n v="1.0"/>
        <n v="2.0"/>
      </sharedItems>
    </cacheField>
    <cacheField name="MP Sum" numFmtId="2">
      <sharedItems containsSemiMixedTypes="0" containsString="0" containsNumber="1" containsInteger="1">
        <n v="6.0"/>
        <n v="9.0"/>
        <n v="8.0"/>
        <n v="7.0"/>
        <n v="5.0"/>
        <n v="10.0"/>
      </sharedItems>
    </cacheField>
    <cacheField name="A. Adaptability and Learning" numFmtId="0">
      <sharedItems containsSemiMixedTypes="0" containsString="0" containsNumber="1" containsInteger="1">
        <n v="1.0"/>
        <n v="2.0"/>
      </sharedItems>
    </cacheField>
    <cacheField name="B. Professionalism &amp; Attitude" numFmtId="0">
      <sharedItems containsString="0" containsBlank="1" containsNumber="1" containsInteger="1">
        <n v="2.0"/>
        <n v="3.0"/>
        <n v="1.0"/>
        <m/>
      </sharedItems>
    </cacheField>
    <cacheField name="MO SUm" numFmtId="0">
      <sharedItems containsSemiMixedTypes="0" containsString="0" containsNumber="1" containsInteger="1">
        <n v="3.0"/>
        <n v="5.0"/>
        <n v="4.0"/>
        <n v="2.0"/>
      </sharedItems>
    </cacheField>
    <cacheField name="IMEF Sum" numFmtId="2">
      <sharedItems containsSemiMixedTypes="0" containsString="0" containsNumber="1">
        <n v="13.0"/>
        <n v="19.0"/>
        <n v="16.0"/>
        <n v="14.0"/>
        <n v="17.0"/>
        <n v="12.0"/>
        <n v="11.0"/>
        <n v="15.0"/>
        <n v="18.0"/>
        <n v="13.5"/>
        <n v="20.0"/>
      </sharedItems>
    </cacheField>
    <cacheField name="A. professional appearance">
      <sharedItems containsMixedTypes="1" containsNumber="1" containsInteger="1">
        <n v="2.0"/>
        <n v="96.0"/>
        <n v="100.0"/>
        <n v="3.0"/>
        <n v="91.0"/>
        <s v="N/A"/>
        <n v="98.0"/>
        <n v="90.0"/>
        <n v="94.0"/>
        <n v="95.0"/>
        <n v="97.0"/>
        <n v="93.0"/>
        <n v="5.0"/>
      </sharedItems>
    </cacheField>
    <cacheField name="B. Seeks responsibility" numFmtId="0">
      <sharedItems containsSemiMixedTypes="0" containsString="0" containsNumber="1" containsInteger="1">
        <n v="2.0"/>
        <n v="96.0"/>
        <n v="100.0"/>
        <n v="3.0"/>
        <n v="91.0"/>
        <n v="92.0"/>
        <n v="98.0"/>
        <n v="95.0"/>
        <n v="97.0"/>
        <n v="99.0"/>
        <n v="4.0"/>
        <n v="90.0"/>
        <n v="93.0"/>
      </sharedItems>
    </cacheField>
    <cacheField name="C. Demonstrates initiative" numFmtId="0">
      <sharedItems containsString="0" containsBlank="1" containsNumber="1" containsInteger="1">
        <n v="2.0"/>
        <n v="96.0"/>
        <n v="100.0"/>
        <m/>
        <n v="3.0"/>
        <n v="91.0"/>
        <n v="92.0"/>
        <n v="97.0"/>
        <n v="98.0"/>
        <n v="95.0"/>
        <n v="93.0"/>
        <n v="90.0"/>
        <n v="88.0"/>
        <n v="99.0"/>
      </sharedItems>
    </cacheField>
    <cacheField name="D. Dependently" numFmtId="0">
      <sharedItems containsSemiMixedTypes="0" containsString="0" containsNumber="1" containsInteger="1">
        <n v="2.0"/>
        <n v="70.0"/>
        <n v="100.0"/>
        <n v="3.0"/>
        <n v="91.0"/>
        <n v="95.0"/>
        <n v="88.0"/>
        <n v="99.0"/>
        <n v="90.0"/>
        <n v="92.0"/>
        <n v="98.0"/>
        <n v="97.0"/>
        <n v="96.0"/>
        <n v="93.0"/>
        <n v="4.0"/>
      </sharedItems>
    </cacheField>
    <cacheField name="E. Accepts direction and constructive criticism" numFmtId="0">
      <sharedItems containsSemiMixedTypes="0" containsString="0" containsNumber="1" containsInteger="1">
        <n v="2.0"/>
        <n v="95.0"/>
        <n v="100.0"/>
        <n v="3.0"/>
        <n v="91.0"/>
        <n v="94.0"/>
        <n v="93.0"/>
        <n v="98.0"/>
        <n v="92.0"/>
        <n v="96.0"/>
        <n v="97.0"/>
        <n v="5.0"/>
      </sharedItems>
    </cacheField>
    <cacheField name="F. Ability to work independently" numFmtId="0">
      <sharedItems containsSemiMixedTypes="0" containsString="0" containsNumber="1" containsInteger="1">
        <n v="2.0"/>
        <n v="95.0"/>
        <n v="100.0"/>
        <n v="3.0"/>
        <n v="90.0"/>
        <n v="93.0"/>
        <n v="94.0"/>
        <n v="98.0"/>
        <n v="88.0"/>
        <n v="99.0"/>
        <n v="86.0"/>
        <n v="91.0"/>
        <n v="4.0"/>
        <n v="87.0"/>
        <n v="97.0"/>
        <n v="92.0"/>
        <n v="96.0"/>
      </sharedItems>
    </cacheField>
    <cacheField name="G. Motivation" numFmtId="0">
      <sharedItems containsSemiMixedTypes="0" containsString="0" containsNumber="1" containsInteger="1">
        <n v="2.0"/>
        <n v="96.0"/>
        <n v="100.0"/>
        <n v="3.0"/>
        <n v="90.0"/>
        <n v="97.0"/>
        <n v="98.0"/>
        <n v="95.0"/>
        <n v="99.0"/>
        <n v="88.0"/>
        <n v="92.0"/>
        <n v="93.0"/>
        <n v="5.0"/>
      </sharedItems>
    </cacheField>
    <cacheField name="H.    Resourcefulness" numFmtId="0">
      <sharedItems containsSemiMixedTypes="0" containsString="0" containsNumber="1" containsInteger="1">
        <n v="2.0"/>
        <n v="95.0"/>
        <n v="100.0"/>
        <n v="3.0"/>
        <n v="91.0"/>
        <n v="93.0"/>
        <n v="88.0"/>
        <n v="89.0"/>
        <n v="97.0"/>
        <n v="96.0"/>
        <n v="98.0"/>
        <n v="4.0"/>
        <n v="86.0"/>
        <n v="99.0"/>
        <n v="90.0"/>
      </sharedItems>
    </cacheField>
    <cacheField name="A. Rapport with staff" numFmtId="0">
      <sharedItems containsSemiMixedTypes="0" containsString="0" containsNumber="1" containsInteger="1">
        <n v="2.0"/>
        <n v="95.0"/>
        <n v="100.0"/>
        <n v="90.0"/>
        <n v="98.0"/>
        <n v="93.0"/>
        <n v="3.0"/>
        <n v="99.0"/>
        <n v="96.0"/>
        <n v="4.0"/>
        <n v="97.0"/>
        <n v="89.0"/>
      </sharedItems>
    </cacheField>
    <cacheField name=" B. Interaction with the public" numFmtId="0">
      <sharedItems containsSemiMixedTypes="0" containsString="0" containsNumber="1" containsInteger="1">
        <n v="2.0"/>
        <n v="95.0"/>
        <n v="100.0"/>
        <n v="90.0"/>
        <n v="97.0"/>
        <n v="91.0"/>
        <n v="93.0"/>
        <n v="98.0"/>
        <n v="89.0"/>
        <n v="96.0"/>
        <n v="3.0"/>
        <n v="4.0"/>
        <n v="86.0"/>
        <n v="92.0"/>
      </sharedItems>
    </cacheField>
    <cacheField name="C. Understands the need of clients" numFmtId="0">
      <sharedItems containsSemiMixedTypes="0" containsString="0" containsNumber="1" containsInteger="1">
        <n v="2.0"/>
        <n v="95.0"/>
        <n v="100.0"/>
        <n v="3.0"/>
        <n v="90.0"/>
        <n v="94.0"/>
        <n v="91.0"/>
        <n v="93.0"/>
        <n v="98.0"/>
        <n v="96.0"/>
        <n v="99.0"/>
        <n v="88.0"/>
        <n v="97.0"/>
      </sharedItems>
    </cacheField>
    <cacheField name="D. Ability to plan for clients needs" numFmtId="0">
      <sharedItems containsSemiMixedTypes="0" containsString="0" containsNumber="1" containsInteger="1">
        <n v="2.0"/>
        <n v="94.0"/>
        <n v="100.0"/>
        <n v="3.0"/>
        <n v="90.0"/>
        <n v="92.0"/>
        <n v="95.0"/>
        <n v="91.0"/>
        <n v="98.0"/>
        <n v="99.0"/>
        <n v="86.0"/>
        <n v="97.0"/>
        <n v="96.0"/>
        <n v="93.0"/>
      </sharedItems>
    </cacheField>
    <cacheField name="E. Adaptability" numFmtId="0">
      <sharedItems containsSemiMixedTypes="0" containsString="0" containsNumber="1" containsInteger="1">
        <n v="2.0"/>
        <n v="94.0"/>
        <n v="100.0"/>
        <n v="3.0"/>
        <n v="90.0"/>
        <n v="95.0"/>
        <n v="93.0"/>
        <n v="97.0"/>
        <n v="99.0"/>
        <n v="98.0"/>
        <n v="92.0"/>
        <n v="91.0"/>
        <n v="87.0"/>
        <n v="96.0"/>
        <n v="4.0"/>
      </sharedItems>
    </cacheField>
    <cacheField name="A. Planning and organizing work schedule" numFmtId="0">
      <sharedItems containsSemiMixedTypes="0" containsString="0" containsNumber="1" containsInteger="1">
        <n v="2.0"/>
        <n v="95.0"/>
        <n v="100.0"/>
        <n v="3.0"/>
        <n v="90.0"/>
        <n v="93.0"/>
        <n v="98.0"/>
        <n v="92.0"/>
        <n v="94.0"/>
        <n v="96.0"/>
        <n v="97.0"/>
        <n v="99.0"/>
        <n v="87.0"/>
      </sharedItems>
    </cacheField>
    <cacheField name="B. Judgement" numFmtId="0">
      <sharedItems containsSemiMixedTypes="0" containsString="0" containsNumber="1" containsInteger="1">
        <n v="2.0"/>
        <n v="95.0"/>
        <n v="100.0"/>
        <n v="3.0"/>
        <n v="90.0"/>
        <n v="93.0"/>
        <n v="96.0"/>
        <n v="91.0"/>
        <n v="97.0"/>
        <n v="98.0"/>
        <n v="88.0"/>
        <n v="99.0"/>
        <n v="4.0"/>
        <n v="86.0"/>
      </sharedItems>
    </cacheField>
    <cacheField name="C. Task accomplishment" numFmtId="0">
      <sharedItems containsString="0" containsBlank="1" containsNumber="1" containsInteger="1">
        <m/>
        <n v="90.0"/>
        <n v="100.0"/>
        <n v="2.0"/>
        <n v="91.0"/>
        <n v="96.0"/>
        <n v="98.0"/>
        <n v="99.0"/>
        <n v="92.0"/>
        <n v="3.0"/>
        <n v="97.0"/>
        <n v="93.0"/>
        <n v="95.0"/>
      </sharedItems>
    </cacheField>
    <cacheField name="D. Oral communication" numFmtId="0">
      <sharedItems containsSemiMixedTypes="0" containsString="0" containsNumber="1" containsInteger="1">
        <n v="2.0"/>
        <n v="90.0"/>
        <n v="100.0"/>
        <n v="3.0"/>
        <n v="97.0"/>
        <n v="91.0"/>
        <n v="95.0"/>
        <n v="99.0"/>
        <n v="86.0"/>
        <n v="1.0"/>
        <n v="98.0"/>
        <n v="96.0"/>
        <n v="94.0"/>
        <n v="92.0"/>
        <n v="5.0"/>
      </sharedItems>
    </cacheField>
    <cacheField name="E. Written communication" numFmtId="0">
      <sharedItems containsSemiMixedTypes="0" containsString="0" containsNumber="1" containsInteger="1">
        <n v="2.0"/>
        <n v="95.0"/>
        <n v="100.0"/>
        <n v="3.0"/>
        <n v="91.0"/>
        <n v="94.0"/>
        <n v="88.0"/>
        <n v="92.0"/>
        <n v="93.0"/>
        <n v="98.0"/>
        <n v="97.0"/>
        <n v="1.0"/>
        <n v="99.0"/>
        <n v="89.0"/>
        <n v="90.0"/>
        <n v="96.0"/>
        <n v="5.0"/>
      </sharedItems>
    </cacheField>
    <cacheField name="F. Evaltuation, self-improvement" numFmtId="0">
      <sharedItems containsString="0" containsBlank="1" containsNumber="1" containsInteger="1">
        <n v="2.0"/>
        <n v="93.0"/>
        <n v="100.0"/>
        <n v="91.0"/>
        <n v="92.0"/>
        <n v="99.0"/>
        <n v="96.0"/>
        <n v="3.0"/>
        <n v="90.0"/>
        <n v="98.0"/>
        <m/>
        <n v="4.0"/>
        <n v="88.0"/>
        <n v="97.0"/>
        <n v="95.0"/>
        <n v="89.0"/>
        <n v="94.0"/>
      </sharedItems>
    </cacheField>
    <cacheField name="G. Leadershiip ability">
      <sharedItems containsBlank="1" containsMixedTypes="1" containsNumber="1" containsInteger="1">
        <n v="2.0"/>
        <n v="95.0"/>
        <n v="100.0"/>
        <n v="85.0"/>
        <n v="94.0"/>
        <s v="N/A"/>
        <n v="92.0"/>
        <n v="93.0"/>
        <n v="88.0"/>
        <n v="98.0"/>
        <n v="96.0"/>
        <n v="3.0"/>
        <n v="97.0"/>
        <n v="86.0"/>
        <n v="91.0"/>
        <m/>
        <n v="99.0"/>
        <n v="90.0"/>
        <n v="89.0"/>
      </sharedItems>
    </cacheField>
    <cacheField name="H. Quantity of work" numFmtId="0">
      <sharedItems containsString="0" containsBlank="1" containsNumber="1" containsInteger="1">
        <m/>
        <n v="95.0"/>
        <n v="100.0"/>
        <n v="85.0"/>
        <n v="92.0"/>
        <n v="96.0"/>
        <n v="98.0"/>
        <n v="90.0"/>
        <n v="3.0"/>
        <n v="86.0"/>
        <n v="97.0"/>
        <n v="99.0"/>
        <n v="91.0"/>
      </sharedItems>
    </cacheField>
    <cacheField name="I. Quality of work" numFmtId="0">
      <sharedItems containsString="0" containsBlank="1" containsNumber="1" containsInteger="1">
        <m/>
        <n v="96.0"/>
        <n v="100.0"/>
        <n v="85.0"/>
        <n v="97.0"/>
        <n v="98.0"/>
        <n v="90.0"/>
        <n v="92.0"/>
        <n v="3.0"/>
        <n v="87.0"/>
        <n v="93.0"/>
        <n v="99.0"/>
        <n v="95.0"/>
        <n v="91.0"/>
      </sharedItems>
    </cacheField>
    <cacheField name="A. Understanding of agency's goals and operations" numFmtId="0">
      <sharedItems containsSemiMixedTypes="0" containsString="0" containsNumber="1">
        <n v="2.0"/>
        <n v="96.0"/>
        <n v="100.0"/>
        <n v="3.0"/>
        <n v="91.0"/>
        <n v="93.0"/>
        <n v="97.0"/>
        <n v="95.0"/>
        <n v="87.0"/>
        <n v="98.0"/>
        <n v="99.0"/>
        <n v="90.0"/>
        <n v="1.75"/>
        <n v="2.5"/>
        <n v="4.0"/>
        <n v="86.0"/>
      </sharedItems>
    </cacheField>
    <cacheField name="B. Knowledge of field or industry" numFmtId="0">
      <sharedItems containsSemiMixedTypes="0" containsString="0" containsNumber="1">
        <n v="2.0"/>
        <n v="96.0"/>
        <n v="100.0"/>
        <n v="3.0"/>
        <n v="90.0"/>
        <n v="97.0"/>
        <n v="98.0"/>
        <n v="95.0"/>
        <n v="93.0"/>
        <n v="99.0"/>
        <n v="86.0"/>
        <n v="1.75"/>
        <n v="2.5"/>
        <n v="4.0"/>
        <n v="89.0"/>
      </sharedItems>
    </cacheField>
    <cacheField name="Over all rating of intern/student trainee's performance">
      <sharedItems containsBlank="1" containsMixedTypes="1" containsNumber="1">
        <m/>
        <n v="93.67"/>
        <n v="100.0"/>
        <n v="3.0"/>
        <n v="2.0"/>
        <n v="89.79"/>
        <n v="94.29"/>
        <n v="97.73"/>
        <n v="92.88"/>
        <n v="96.75"/>
        <n v="93.26"/>
        <n v="92.08"/>
        <n v="98.92"/>
        <n v="98.33"/>
        <n v="96.04"/>
        <n v="90.17"/>
        <n v="98.13"/>
        <n v="89.67"/>
        <n v="94.0"/>
        <n v="99.0"/>
        <n v="0.88"/>
        <n v="97.0"/>
        <n v="93.0"/>
        <n v="0.96"/>
        <n v="0.988"/>
        <n v="0.98"/>
        <n v="0.95"/>
        <n v="98.75"/>
        <n v="0.97"/>
        <s v="96..6%"/>
        <n v="98.0"/>
        <n v="96.0"/>
        <n v="89.0"/>
        <n v="92.13"/>
        <n v="95.0"/>
        <n v="0.86"/>
      </sharedItems>
    </cacheField>
    <cacheField name="A. Regularity in attendance/reporting" numFmtId="0">
      <sharedItems containsSemiMixedTypes="0" containsString="0" containsNumber="1" containsInteger="1">
        <n v="4.0"/>
        <n v="2.0"/>
        <n v="3.0"/>
      </sharedItems>
    </cacheField>
    <cacheField name="B. Timeliness in the submission of reports" numFmtId="0">
      <sharedItems containsSemiMixedTypes="0" containsString="0" containsNumber="1" containsInteger="1">
        <n v="4.0"/>
        <n v="3.0"/>
        <n v="2.0"/>
      </sharedItems>
    </cacheField>
    <cacheField name="C. Social relation with practicum" numFmtId="0">
      <sharedItems containsSemiMixedTypes="0" containsString="0" containsNumber="1" containsInteger="1">
        <n v="4.0"/>
        <n v="3.0"/>
      </sharedItems>
    </cacheField>
    <cacheField name="A. Sense of responsibility" numFmtId="0">
      <sharedItems containsSemiMixedTypes="0" containsString="0" containsNumber="1" containsInteger="1">
        <n v="4.0"/>
        <n v="3.0"/>
        <n v="2.0"/>
      </sharedItems>
    </cacheField>
    <cacheField name="B. Level of interest" numFmtId="0">
      <sharedItems containsSemiMixedTypes="0" containsString="0" containsNumber="1" containsInteger="1">
        <n v="4.0"/>
        <n v="3.0"/>
        <n v="2.0"/>
      </sharedItems>
    </cacheField>
    <cacheField name="C. Level of cooperation" numFmtId="0">
      <sharedItems containsSemiMixedTypes="0" containsString="0" containsNumber="1" containsInteger="1">
        <n v="4.0"/>
        <n v="3.0"/>
      </sharedItems>
    </cacheField>
    <cacheField name="A. Mastery of the nature work" numFmtId="0">
      <sharedItems containsSemiMixedTypes="0" containsString="0" containsNumber="1" containsInteger="1">
        <n v="4.0"/>
        <n v="3.0"/>
        <n v="2.0"/>
      </sharedItems>
    </cacheField>
    <cacheField name="B. Quality of work/report" numFmtId="0">
      <sharedItems containsString="0" containsBlank="1" containsNumber="1" containsInteger="1">
        <n v="4.0"/>
        <n v="3.0"/>
        <m/>
        <n v="2.0"/>
      </sharedItems>
    </cacheField>
    <cacheField name="C. Physical and mental alertness" numFmtId="0">
      <sharedItems containsString="0" containsBlank="1" containsNumber="1" containsInteger="1">
        <n v="4.0"/>
        <n v="3.0"/>
        <m/>
        <n v="2.0"/>
      </sharedItems>
    </cacheField>
    <cacheField name="Total" numFmtId="0">
      <sharedItems containsSemiMixedTypes="0" containsString="0" containsNumber="1" containsInteger="1">
        <n v="36.0"/>
        <n v="34.0"/>
        <n v="31.0"/>
        <n v="25.0"/>
        <n v="32.0"/>
        <n v="35.0"/>
        <n v="27.0"/>
        <n v="33.0"/>
        <n v="29.0"/>
        <n v="28.0"/>
        <n v="23.0"/>
        <n v="22.0"/>
        <n v="3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3" cacheId="0" dataCaption="" compact="0" compactData="0">
  <location ref="A1:E6" firstHeaderRow="0" firstDataRow="1" firstDataCol="1"/>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axis="axisCol" compact="0" outline="0" multipleItemSelectionAllowed="1" showAll="0" sortType="ascending">
      <items>
        <item x="2"/>
        <item x="0"/>
        <item x="1"/>
        <item t="default"/>
      </items>
    </pivotField>
    <pivotField name="Section" axis="axisRow" compact="0" outline="0" multipleItemSelectionAllowed="1" showAll="0" sortType="ascending">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dataField="1"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rowFields>
    <field x="2"/>
  </rowFields>
  <colFields>
    <field x="1"/>
  </colFields>
  <dataFields>
    <dataField name="AVERAGE of A.Quality of Work" fld="5" subtotal="average" baseField="0"/>
  </dataFields>
</pivotTableDefinition>
</file>

<file path=xl/pivotTables/pivotTable2.xml><?xml version="1.0" encoding="utf-8"?>
<pivotTableDefinition xmlns="http://schemas.openxmlformats.org/spreadsheetml/2006/main" name="Pivot Table 3 2" cacheId="0" dataCaption="" compact="0" compactData="0">
  <location ref="A21:E30" firstHeaderRow="0" firstDataRow="0" firstDataCol="0"/>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compact="0" outline="0" multipleItemSelectionAllowed="1" showAll="0">
      <items>
        <item x="0"/>
        <item x="1"/>
        <item x="2"/>
        <item t="default"/>
      </items>
    </pivotField>
    <pivotField name="Section" compact="0" outline="0" multipleItemSelectionAllowed="1" showAll="0">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pivotTableDefinition>
</file>

<file path=xl/pivotTables/pivotTable3.xml><?xml version="1.0" encoding="utf-8"?>
<pivotTableDefinition xmlns="http://schemas.openxmlformats.org/spreadsheetml/2006/main" name="Pivot Table 2" cacheId="0" dataCaption="" compact="0" compactData="0">
  <location ref="A1:E6" firstHeaderRow="0" firstDataRow="1" firstDataCol="1"/>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axis="axisCol" compact="0" outline="0" multipleItemSelectionAllowed="1" showAll="0" sortType="ascending">
      <items>
        <item x="2"/>
        <item x="0"/>
        <item x="1"/>
        <item t="default"/>
      </items>
    </pivotField>
    <pivotField name="Section" axis="axisRow" dataField="1" compact="0" outline="0" multipleItemSelectionAllowed="1" showAll="0" sortType="ascending">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rowFields>
    <field x="2"/>
  </rowFields>
  <colFields>
    <field x="1"/>
  </colFields>
  <dataFields>
    <dataField name="COUNTA of Section"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12.63"/>
    <col customWidth="1" min="2" max="2" width="33.38"/>
    <col customWidth="1" min="3" max="6" width="12.63"/>
    <col customWidth="1" min="9" max="9" width="15.13"/>
    <col customWidth="1" min="10" max="10" width="9.38"/>
  </cols>
  <sheetData>
    <row r="1" ht="15.75" customHeight="1">
      <c r="A1" s="1"/>
      <c r="B1" s="2"/>
      <c r="C1" s="2"/>
      <c r="D1" s="2"/>
      <c r="E1" s="2"/>
      <c r="F1" s="2"/>
      <c r="G1" s="3" t="s">
        <v>0</v>
      </c>
      <c r="J1" s="4"/>
      <c r="K1" s="3" t="s">
        <v>1</v>
      </c>
      <c r="M1" s="3"/>
      <c r="N1" s="3"/>
      <c r="O1" s="5" t="s">
        <v>2</v>
      </c>
      <c r="P1" s="6"/>
      <c r="Q1" s="6"/>
      <c r="R1" s="6"/>
      <c r="S1" s="6"/>
      <c r="T1" s="6"/>
      <c r="U1" s="6"/>
      <c r="V1" s="6"/>
      <c r="W1" s="7" t="s">
        <v>3</v>
      </c>
      <c r="X1" s="6"/>
      <c r="Y1" s="6"/>
      <c r="Z1" s="6"/>
      <c r="AA1" s="6"/>
      <c r="AB1" s="8" t="s">
        <v>4</v>
      </c>
      <c r="AC1" s="6"/>
      <c r="AD1" s="6"/>
      <c r="AE1" s="6"/>
      <c r="AF1" s="6"/>
      <c r="AG1" s="6"/>
      <c r="AH1" s="6"/>
      <c r="AI1" s="6"/>
      <c r="AJ1" s="6"/>
      <c r="AK1" s="9" t="s">
        <v>5</v>
      </c>
      <c r="AM1" s="10"/>
      <c r="AN1" s="9" t="s">
        <v>6</v>
      </c>
      <c r="AQ1" s="3" t="s">
        <v>1</v>
      </c>
      <c r="AT1" s="3" t="s">
        <v>7</v>
      </c>
    </row>
    <row r="2" ht="15.75" customHeight="1">
      <c r="A2" s="11" t="s">
        <v>8</v>
      </c>
      <c r="B2" s="3" t="s">
        <v>9</v>
      </c>
      <c r="C2" s="3" t="s">
        <v>10</v>
      </c>
      <c r="D2" s="3" t="s">
        <v>11</v>
      </c>
      <c r="E2" s="3" t="s">
        <v>12</v>
      </c>
      <c r="F2" s="3" t="s">
        <v>13</v>
      </c>
      <c r="G2" s="3" t="s">
        <v>14</v>
      </c>
      <c r="H2" s="3" t="s">
        <v>15</v>
      </c>
      <c r="I2" s="3" t="s">
        <v>16</v>
      </c>
      <c r="J2" s="4" t="s">
        <v>17</v>
      </c>
      <c r="K2" s="3" t="s">
        <v>18</v>
      </c>
      <c r="L2" s="3" t="s">
        <v>19</v>
      </c>
      <c r="M2" s="3" t="s">
        <v>20</v>
      </c>
      <c r="N2" s="3" t="s">
        <v>21</v>
      </c>
      <c r="O2" s="12" t="s">
        <v>22</v>
      </c>
      <c r="P2" s="13" t="s">
        <v>23</v>
      </c>
      <c r="Q2" s="13" t="s">
        <v>24</v>
      </c>
      <c r="R2" s="12" t="s">
        <v>25</v>
      </c>
      <c r="S2" s="12" t="s">
        <v>26</v>
      </c>
      <c r="T2" s="12" t="s">
        <v>27</v>
      </c>
      <c r="U2" s="14" t="s">
        <v>28</v>
      </c>
      <c r="V2" s="14" t="s">
        <v>29</v>
      </c>
      <c r="W2" s="15" t="s">
        <v>30</v>
      </c>
      <c r="X2" s="15" t="s">
        <v>31</v>
      </c>
      <c r="Y2" s="15" t="s">
        <v>32</v>
      </c>
      <c r="Z2" s="16" t="s">
        <v>33</v>
      </c>
      <c r="AA2" s="17" t="s">
        <v>34</v>
      </c>
      <c r="AB2" s="18" t="s">
        <v>35</v>
      </c>
      <c r="AC2" s="19" t="s">
        <v>36</v>
      </c>
      <c r="AD2" s="20" t="s">
        <v>37</v>
      </c>
      <c r="AE2" s="21" t="s">
        <v>38</v>
      </c>
      <c r="AF2" s="21" t="s">
        <v>39</v>
      </c>
      <c r="AG2" s="20" t="s">
        <v>40</v>
      </c>
      <c r="AH2" s="20" t="s">
        <v>41</v>
      </c>
      <c r="AI2" s="22" t="s">
        <v>42</v>
      </c>
      <c r="AJ2" s="22" t="s">
        <v>43</v>
      </c>
      <c r="AK2" s="23" t="s">
        <v>44</v>
      </c>
      <c r="AL2" s="23" t="s">
        <v>45</v>
      </c>
      <c r="AM2" s="24" t="s">
        <v>46</v>
      </c>
      <c r="AN2" s="3" t="s">
        <v>47</v>
      </c>
      <c r="AO2" s="23" t="s">
        <v>48</v>
      </c>
      <c r="AP2" s="23" t="s">
        <v>49</v>
      </c>
      <c r="AQ2" s="23" t="s">
        <v>50</v>
      </c>
      <c r="AR2" s="23" t="s">
        <v>51</v>
      </c>
      <c r="AS2" s="23" t="s">
        <v>52</v>
      </c>
      <c r="AT2" s="3" t="s">
        <v>53</v>
      </c>
      <c r="AU2" s="3" t="s">
        <v>54</v>
      </c>
      <c r="AV2" s="3" t="s">
        <v>55</v>
      </c>
      <c r="AW2" s="25" t="s">
        <v>56</v>
      </c>
      <c r="AX2" s="25"/>
    </row>
    <row r="3" ht="15.75" customHeight="1">
      <c r="A3" s="27" t="s">
        <v>59</v>
      </c>
      <c r="B3" s="27" t="s">
        <v>61</v>
      </c>
      <c r="C3" s="11" t="s">
        <v>62</v>
      </c>
      <c r="D3" s="27" t="s">
        <v>60</v>
      </c>
      <c r="E3" s="27" t="s">
        <v>63</v>
      </c>
      <c r="F3" s="30">
        <v>4.0</v>
      </c>
      <c r="G3" s="30">
        <v>3.0</v>
      </c>
      <c r="H3" s="30">
        <v>2.0</v>
      </c>
      <c r="I3" s="30">
        <v>1.0</v>
      </c>
      <c r="J3" s="31">
        <f t="shared" ref="J3:J84" si="1">SUM(G3:I3)</f>
        <v>6</v>
      </c>
      <c r="K3" s="30">
        <v>1.0</v>
      </c>
      <c r="L3" s="30">
        <v>2.0</v>
      </c>
      <c r="M3" s="30">
        <f t="shared" ref="M3:M84" si="2">SUM(K3:L3)</f>
        <v>3</v>
      </c>
      <c r="N3" s="32">
        <f t="shared" ref="N3:N84" si="3">F3+J3+M3</f>
        <v>13</v>
      </c>
      <c r="O3" s="33">
        <v>2.0</v>
      </c>
      <c r="P3" s="34">
        <v>2.0</v>
      </c>
      <c r="Q3" s="34">
        <v>2.0</v>
      </c>
      <c r="R3" s="33">
        <v>2.0</v>
      </c>
      <c r="S3" s="33">
        <v>2.0</v>
      </c>
      <c r="T3" s="33">
        <v>2.0</v>
      </c>
      <c r="U3" s="33">
        <v>2.0</v>
      </c>
      <c r="V3" s="33">
        <v>2.0</v>
      </c>
      <c r="W3" s="36">
        <v>2.0</v>
      </c>
      <c r="X3" s="37">
        <v>2.0</v>
      </c>
      <c r="Y3" s="37">
        <v>2.0</v>
      </c>
      <c r="Z3" s="37">
        <v>2.0</v>
      </c>
      <c r="AA3" s="37">
        <v>2.0</v>
      </c>
      <c r="AB3" s="38">
        <v>2.0</v>
      </c>
      <c r="AC3" s="38">
        <v>2.0</v>
      </c>
      <c r="AD3" s="39"/>
      <c r="AE3" s="40">
        <v>2.0</v>
      </c>
      <c r="AF3" s="40">
        <v>2.0</v>
      </c>
      <c r="AG3" s="39">
        <v>2.0</v>
      </c>
      <c r="AH3" s="39">
        <v>2.0</v>
      </c>
      <c r="AI3" s="41"/>
      <c r="AJ3" s="41"/>
      <c r="AK3" s="11">
        <v>2.0</v>
      </c>
      <c r="AL3" s="11">
        <v>2.0</v>
      </c>
      <c r="AM3" s="42"/>
      <c r="AN3" s="11">
        <v>4.0</v>
      </c>
      <c r="AO3" s="11">
        <v>4.0</v>
      </c>
      <c r="AP3" s="11">
        <v>4.0</v>
      </c>
      <c r="AQ3" s="11">
        <v>4.0</v>
      </c>
      <c r="AR3" s="11">
        <v>4.0</v>
      </c>
      <c r="AS3" s="11">
        <v>4.0</v>
      </c>
      <c r="AT3" s="11">
        <v>4.0</v>
      </c>
      <c r="AU3" s="11">
        <v>4.0</v>
      </c>
      <c r="AV3" s="11">
        <v>4.0</v>
      </c>
      <c r="AW3" s="11">
        <f t="shared" ref="AW3:AW27" si="4">SUM(AN3:AV3)</f>
        <v>36</v>
      </c>
    </row>
    <row r="4" ht="15.75" customHeight="1">
      <c r="A4" s="27" t="s">
        <v>59</v>
      </c>
      <c r="B4" s="27" t="s">
        <v>67</v>
      </c>
      <c r="C4" s="11" t="s">
        <v>66</v>
      </c>
      <c r="D4" s="27" t="s">
        <v>60</v>
      </c>
      <c r="E4" s="27" t="s">
        <v>68</v>
      </c>
      <c r="F4" s="30">
        <v>5.0</v>
      </c>
      <c r="G4" s="30">
        <v>4.0</v>
      </c>
      <c r="H4" s="30">
        <v>3.0</v>
      </c>
      <c r="I4" s="30">
        <v>2.0</v>
      </c>
      <c r="J4" s="31">
        <f t="shared" si="1"/>
        <v>9</v>
      </c>
      <c r="K4" s="30">
        <v>2.0</v>
      </c>
      <c r="L4" s="30">
        <v>3.0</v>
      </c>
      <c r="M4" s="30">
        <f t="shared" si="2"/>
        <v>5</v>
      </c>
      <c r="N4" s="32">
        <f t="shared" si="3"/>
        <v>19</v>
      </c>
      <c r="O4" s="33">
        <v>96.0</v>
      </c>
      <c r="P4" s="34">
        <v>96.0</v>
      </c>
      <c r="Q4" s="34">
        <v>96.0</v>
      </c>
      <c r="R4" s="33">
        <v>70.0</v>
      </c>
      <c r="S4" s="33">
        <v>95.0</v>
      </c>
      <c r="T4" s="33">
        <v>95.0</v>
      </c>
      <c r="U4" s="33">
        <v>96.0</v>
      </c>
      <c r="V4" s="33">
        <v>95.0</v>
      </c>
      <c r="W4" s="36">
        <v>95.0</v>
      </c>
      <c r="X4" s="37">
        <v>95.0</v>
      </c>
      <c r="Y4" s="37">
        <v>95.0</v>
      </c>
      <c r="Z4" s="37">
        <v>94.0</v>
      </c>
      <c r="AA4" s="37">
        <v>94.0</v>
      </c>
      <c r="AB4" s="43">
        <v>95.0</v>
      </c>
      <c r="AC4" s="38">
        <v>95.0</v>
      </c>
      <c r="AD4" s="39">
        <v>90.0</v>
      </c>
      <c r="AE4" s="40">
        <v>90.0</v>
      </c>
      <c r="AF4" s="40">
        <v>95.0</v>
      </c>
      <c r="AG4" s="39">
        <v>93.0</v>
      </c>
      <c r="AH4" s="39">
        <v>95.0</v>
      </c>
      <c r="AI4" s="41">
        <v>95.0</v>
      </c>
      <c r="AJ4" s="41">
        <v>96.0</v>
      </c>
      <c r="AK4" s="11">
        <v>96.0</v>
      </c>
      <c r="AL4" s="11">
        <v>96.0</v>
      </c>
      <c r="AM4" s="42">
        <f t="shared" ref="AM4:AM5" si="5">ROUND(AVERAGE(O4:AL4), 2)</f>
        <v>93.67</v>
      </c>
      <c r="AN4" s="11">
        <v>4.0</v>
      </c>
      <c r="AO4" s="11">
        <v>4.0</v>
      </c>
      <c r="AP4" s="11">
        <v>4.0</v>
      </c>
      <c r="AQ4" s="11">
        <v>4.0</v>
      </c>
      <c r="AR4" s="11">
        <v>4.0</v>
      </c>
      <c r="AS4" s="11">
        <v>4.0</v>
      </c>
      <c r="AT4" s="11">
        <v>3.0</v>
      </c>
      <c r="AU4" s="11">
        <v>4.0</v>
      </c>
      <c r="AV4" s="11">
        <v>3.0</v>
      </c>
      <c r="AW4" s="11">
        <f t="shared" si="4"/>
        <v>34</v>
      </c>
    </row>
    <row r="5" ht="15.75" customHeight="1">
      <c r="A5" s="27" t="s">
        <v>59</v>
      </c>
      <c r="B5" s="27" t="s">
        <v>76</v>
      </c>
      <c r="C5" s="11" t="s">
        <v>66</v>
      </c>
      <c r="D5" s="27" t="s">
        <v>60</v>
      </c>
      <c r="E5" s="27" t="s">
        <v>78</v>
      </c>
      <c r="F5" s="30">
        <v>4.0</v>
      </c>
      <c r="G5" s="30">
        <v>3.0</v>
      </c>
      <c r="H5" s="30">
        <v>2.0</v>
      </c>
      <c r="I5" s="30">
        <v>1.0</v>
      </c>
      <c r="J5" s="31">
        <f t="shared" si="1"/>
        <v>6</v>
      </c>
      <c r="K5" s="30">
        <v>1.0</v>
      </c>
      <c r="L5" s="30">
        <v>2.0</v>
      </c>
      <c r="M5" s="30">
        <f t="shared" si="2"/>
        <v>3</v>
      </c>
      <c r="N5" s="32">
        <f t="shared" si="3"/>
        <v>13</v>
      </c>
      <c r="O5" s="33">
        <v>100.0</v>
      </c>
      <c r="P5" s="34">
        <v>100.0</v>
      </c>
      <c r="Q5" s="34">
        <v>100.0</v>
      </c>
      <c r="R5" s="33">
        <v>100.0</v>
      </c>
      <c r="S5" s="33">
        <v>100.0</v>
      </c>
      <c r="T5" s="33">
        <v>100.0</v>
      </c>
      <c r="U5" s="33">
        <v>100.0</v>
      </c>
      <c r="V5" s="33">
        <v>100.0</v>
      </c>
      <c r="W5" s="36">
        <v>100.0</v>
      </c>
      <c r="X5" s="37">
        <v>100.0</v>
      </c>
      <c r="Y5" s="37">
        <v>100.0</v>
      </c>
      <c r="Z5" s="37">
        <v>100.0</v>
      </c>
      <c r="AA5" s="37">
        <v>100.0</v>
      </c>
      <c r="AB5" s="38">
        <v>100.0</v>
      </c>
      <c r="AC5" s="38">
        <v>100.0</v>
      </c>
      <c r="AD5" s="39">
        <v>100.0</v>
      </c>
      <c r="AE5" s="40">
        <v>100.0</v>
      </c>
      <c r="AF5" s="40">
        <v>100.0</v>
      </c>
      <c r="AG5" s="39">
        <v>100.0</v>
      </c>
      <c r="AH5" s="39">
        <v>100.0</v>
      </c>
      <c r="AI5" s="41">
        <v>100.0</v>
      </c>
      <c r="AJ5" s="41">
        <v>100.0</v>
      </c>
      <c r="AK5" s="11">
        <v>100.0</v>
      </c>
      <c r="AL5" s="11">
        <v>100.0</v>
      </c>
      <c r="AM5" s="42">
        <f t="shared" si="5"/>
        <v>100</v>
      </c>
      <c r="AN5" s="11">
        <v>4.0</v>
      </c>
      <c r="AO5" s="11">
        <v>4.0</v>
      </c>
      <c r="AP5" s="11">
        <v>4.0</v>
      </c>
      <c r="AQ5" s="11">
        <v>4.0</v>
      </c>
      <c r="AR5" s="11">
        <v>4.0</v>
      </c>
      <c r="AS5" s="11">
        <v>4.0</v>
      </c>
      <c r="AT5" s="11">
        <v>4.0</v>
      </c>
      <c r="AU5" s="11">
        <v>4.0</v>
      </c>
      <c r="AV5" s="11">
        <v>4.0</v>
      </c>
      <c r="AW5" s="11">
        <f t="shared" si="4"/>
        <v>36</v>
      </c>
    </row>
    <row r="6" ht="15.75" customHeight="1">
      <c r="A6" s="27" t="s">
        <v>59</v>
      </c>
      <c r="B6" s="27" t="s">
        <v>61</v>
      </c>
      <c r="C6" s="11" t="s">
        <v>62</v>
      </c>
      <c r="D6" s="27" t="s">
        <v>60</v>
      </c>
      <c r="E6" s="27" t="s">
        <v>87</v>
      </c>
      <c r="F6" s="30">
        <v>4.0</v>
      </c>
      <c r="G6" s="30">
        <v>4.0</v>
      </c>
      <c r="H6" s="30">
        <v>2.0</v>
      </c>
      <c r="I6" s="30">
        <v>2.0</v>
      </c>
      <c r="J6" s="31">
        <f t="shared" si="1"/>
        <v>8</v>
      </c>
      <c r="K6" s="30">
        <v>2.0</v>
      </c>
      <c r="L6" s="30">
        <v>2.0</v>
      </c>
      <c r="M6" s="30">
        <f t="shared" si="2"/>
        <v>4</v>
      </c>
      <c r="N6" s="32">
        <f t="shared" si="3"/>
        <v>16</v>
      </c>
      <c r="O6" s="33">
        <v>2.0</v>
      </c>
      <c r="P6" s="34">
        <v>2.0</v>
      </c>
      <c r="Q6" s="34"/>
      <c r="R6" s="33">
        <v>3.0</v>
      </c>
      <c r="S6" s="33">
        <v>3.0</v>
      </c>
      <c r="T6" s="33">
        <v>3.0</v>
      </c>
      <c r="U6" s="33">
        <v>3.0</v>
      </c>
      <c r="V6" s="33">
        <v>3.0</v>
      </c>
      <c r="W6" s="36">
        <v>2.0</v>
      </c>
      <c r="X6" s="37">
        <v>2.0</v>
      </c>
      <c r="Y6" s="37">
        <v>3.0</v>
      </c>
      <c r="Z6" s="37">
        <v>3.0</v>
      </c>
      <c r="AA6" s="37">
        <v>3.0</v>
      </c>
      <c r="AB6" s="38">
        <v>3.0</v>
      </c>
      <c r="AC6" s="38">
        <v>3.0</v>
      </c>
      <c r="AD6" s="39">
        <v>2.0</v>
      </c>
      <c r="AE6" s="40">
        <v>3.0</v>
      </c>
      <c r="AF6" s="40">
        <v>3.0</v>
      </c>
      <c r="AG6" s="39">
        <v>2.0</v>
      </c>
      <c r="AH6" s="39">
        <v>2.0</v>
      </c>
      <c r="AI6" s="41"/>
      <c r="AJ6" s="41"/>
      <c r="AK6" s="11">
        <v>3.0</v>
      </c>
      <c r="AL6" s="11">
        <v>3.0</v>
      </c>
      <c r="AM6" s="42">
        <f t="shared" ref="AM6:AM7" si="6">ROUND(AVERAGE(O6:AL6),0)</f>
        <v>3</v>
      </c>
      <c r="AN6" s="11">
        <v>4.0</v>
      </c>
      <c r="AO6" s="11">
        <v>3.0</v>
      </c>
      <c r="AP6" s="11">
        <v>3.0</v>
      </c>
      <c r="AQ6" s="11">
        <v>4.0</v>
      </c>
      <c r="AR6" s="11">
        <v>4.0</v>
      </c>
      <c r="AS6" s="11">
        <v>4.0</v>
      </c>
      <c r="AT6" s="11">
        <v>3.0</v>
      </c>
      <c r="AU6" s="11">
        <v>3.0</v>
      </c>
      <c r="AV6" s="11">
        <v>3.0</v>
      </c>
      <c r="AW6" s="11">
        <f t="shared" si="4"/>
        <v>31</v>
      </c>
    </row>
    <row r="7" ht="15.75" customHeight="1">
      <c r="A7" s="27" t="s">
        <v>59</v>
      </c>
      <c r="B7" s="27" t="s">
        <v>61</v>
      </c>
      <c r="C7" s="11" t="s">
        <v>62</v>
      </c>
      <c r="D7" s="27" t="s">
        <v>60</v>
      </c>
      <c r="E7" s="27" t="s">
        <v>88</v>
      </c>
      <c r="F7" s="30">
        <v>4.0</v>
      </c>
      <c r="G7" s="30">
        <v>4.0</v>
      </c>
      <c r="H7" s="30">
        <v>2.0</v>
      </c>
      <c r="I7" s="30">
        <v>1.0</v>
      </c>
      <c r="J7" s="31">
        <f t="shared" si="1"/>
        <v>7</v>
      </c>
      <c r="K7" s="30">
        <v>1.0</v>
      </c>
      <c r="L7" s="30">
        <v>2.0</v>
      </c>
      <c r="M7" s="30">
        <f t="shared" si="2"/>
        <v>3</v>
      </c>
      <c r="N7" s="32">
        <f t="shared" si="3"/>
        <v>14</v>
      </c>
      <c r="O7" s="33">
        <v>3.0</v>
      </c>
      <c r="P7" s="34">
        <v>3.0</v>
      </c>
      <c r="Q7" s="34">
        <v>3.0</v>
      </c>
      <c r="R7" s="33">
        <v>3.0</v>
      </c>
      <c r="S7" s="33">
        <v>3.0</v>
      </c>
      <c r="T7" s="33">
        <v>3.0</v>
      </c>
      <c r="U7" s="33">
        <v>3.0</v>
      </c>
      <c r="V7" s="33">
        <v>2.0</v>
      </c>
      <c r="W7" s="36">
        <v>2.0</v>
      </c>
      <c r="X7" s="37">
        <v>2.0</v>
      </c>
      <c r="Y7" s="37">
        <v>2.0</v>
      </c>
      <c r="Z7" s="37">
        <v>3.0</v>
      </c>
      <c r="AA7" s="37">
        <v>3.0</v>
      </c>
      <c r="AB7" s="38">
        <v>2.0</v>
      </c>
      <c r="AC7" s="38">
        <v>2.0</v>
      </c>
      <c r="AD7" s="39">
        <v>2.0</v>
      </c>
      <c r="AE7" s="40">
        <v>2.0</v>
      </c>
      <c r="AF7" s="40">
        <v>2.0</v>
      </c>
      <c r="AG7" s="39">
        <v>2.0</v>
      </c>
      <c r="AH7" s="39">
        <v>2.0</v>
      </c>
      <c r="AI7" s="41"/>
      <c r="AJ7" s="41"/>
      <c r="AK7" s="11">
        <v>3.0</v>
      </c>
      <c r="AL7" s="11">
        <v>2.0</v>
      </c>
      <c r="AM7" s="42">
        <f t="shared" si="6"/>
        <v>2</v>
      </c>
      <c r="AN7" s="11">
        <v>4.0</v>
      </c>
      <c r="AO7" s="11">
        <v>3.0</v>
      </c>
      <c r="AP7" s="11">
        <v>4.0</v>
      </c>
      <c r="AQ7" s="11">
        <v>4.0</v>
      </c>
      <c r="AR7" s="11">
        <v>4.0</v>
      </c>
      <c r="AS7" s="11">
        <v>4.0</v>
      </c>
      <c r="AT7" s="11">
        <v>3.0</v>
      </c>
      <c r="AU7" s="11">
        <v>4.0</v>
      </c>
      <c r="AV7" s="11">
        <v>4.0</v>
      </c>
      <c r="AW7" s="11">
        <f t="shared" si="4"/>
        <v>34</v>
      </c>
    </row>
    <row r="8" ht="15.75" customHeight="1">
      <c r="A8" s="27" t="s">
        <v>59</v>
      </c>
      <c r="B8" s="27" t="s">
        <v>76</v>
      </c>
      <c r="C8" s="11" t="s">
        <v>62</v>
      </c>
      <c r="D8" s="27" t="s">
        <v>60</v>
      </c>
      <c r="E8" s="27" t="s">
        <v>89</v>
      </c>
      <c r="F8" s="30">
        <v>8.0</v>
      </c>
      <c r="G8" s="30">
        <v>3.0</v>
      </c>
      <c r="H8" s="30">
        <v>2.0</v>
      </c>
      <c r="I8" s="30">
        <v>1.0</v>
      </c>
      <c r="J8" s="31">
        <f t="shared" si="1"/>
        <v>6</v>
      </c>
      <c r="K8" s="30">
        <v>1.0</v>
      </c>
      <c r="L8" s="30">
        <v>2.0</v>
      </c>
      <c r="M8" s="30">
        <f t="shared" si="2"/>
        <v>3</v>
      </c>
      <c r="N8" s="32">
        <f t="shared" si="3"/>
        <v>17</v>
      </c>
      <c r="O8" s="33">
        <v>100.0</v>
      </c>
      <c r="P8" s="34">
        <v>100.0</v>
      </c>
      <c r="Q8" s="34">
        <v>100.0</v>
      </c>
      <c r="R8" s="33">
        <v>100.0</v>
      </c>
      <c r="S8" s="33">
        <v>100.0</v>
      </c>
      <c r="T8" s="33">
        <v>100.0</v>
      </c>
      <c r="U8" s="33">
        <v>100.0</v>
      </c>
      <c r="V8" s="33">
        <v>100.0</v>
      </c>
      <c r="W8" s="36">
        <v>100.0</v>
      </c>
      <c r="X8" s="37">
        <v>100.0</v>
      </c>
      <c r="Y8" s="37">
        <v>100.0</v>
      </c>
      <c r="Z8" s="37">
        <v>100.0</v>
      </c>
      <c r="AA8" s="37">
        <v>100.0</v>
      </c>
      <c r="AB8" s="38">
        <v>100.0</v>
      </c>
      <c r="AC8" s="38">
        <v>100.0</v>
      </c>
      <c r="AD8" s="39">
        <v>100.0</v>
      </c>
      <c r="AE8" s="40">
        <v>100.0</v>
      </c>
      <c r="AF8" s="40">
        <v>100.0</v>
      </c>
      <c r="AG8" s="39">
        <v>100.0</v>
      </c>
      <c r="AH8" s="39">
        <v>100.0</v>
      </c>
      <c r="AI8" s="41">
        <v>100.0</v>
      </c>
      <c r="AJ8" s="41">
        <v>100.0</v>
      </c>
      <c r="AK8" s="11">
        <v>100.0</v>
      </c>
      <c r="AL8" s="11">
        <v>100.0</v>
      </c>
      <c r="AM8" s="42">
        <f t="shared" ref="AM8:AM16" si="7">ROUND(AVERAGE(O8:AL8), 2)</f>
        <v>100</v>
      </c>
      <c r="AN8" s="11">
        <v>4.0</v>
      </c>
      <c r="AO8" s="11">
        <v>4.0</v>
      </c>
      <c r="AP8" s="11">
        <v>4.0</v>
      </c>
      <c r="AQ8" s="11">
        <v>4.0</v>
      </c>
      <c r="AR8" s="11">
        <v>4.0</v>
      </c>
      <c r="AS8" s="11">
        <v>4.0</v>
      </c>
      <c r="AT8" s="11">
        <v>4.0</v>
      </c>
      <c r="AU8" s="11">
        <v>4.0</v>
      </c>
      <c r="AV8" s="11">
        <v>4.0</v>
      </c>
      <c r="AW8" s="11">
        <f t="shared" si="4"/>
        <v>36</v>
      </c>
    </row>
    <row r="9" ht="15.75" customHeight="1">
      <c r="A9" s="27" t="s">
        <v>59</v>
      </c>
      <c r="B9" s="27" t="s">
        <v>76</v>
      </c>
      <c r="C9" s="11" t="s">
        <v>66</v>
      </c>
      <c r="D9" s="27" t="s">
        <v>60</v>
      </c>
      <c r="E9" s="27" t="s">
        <v>90</v>
      </c>
      <c r="F9" s="30">
        <v>5.0</v>
      </c>
      <c r="G9" s="30">
        <v>3.0</v>
      </c>
      <c r="H9" s="30">
        <v>2.0</v>
      </c>
      <c r="I9" s="30">
        <v>1.0</v>
      </c>
      <c r="J9" s="31">
        <f t="shared" si="1"/>
        <v>6</v>
      </c>
      <c r="K9" s="30">
        <v>1.0</v>
      </c>
      <c r="L9" s="30">
        <v>2.0</v>
      </c>
      <c r="M9" s="30">
        <f t="shared" si="2"/>
        <v>3</v>
      </c>
      <c r="N9" s="32">
        <f t="shared" si="3"/>
        <v>14</v>
      </c>
      <c r="O9" s="33">
        <v>100.0</v>
      </c>
      <c r="P9" s="34">
        <v>100.0</v>
      </c>
      <c r="Q9" s="34">
        <v>100.0</v>
      </c>
      <c r="R9" s="33">
        <v>100.0</v>
      </c>
      <c r="S9" s="33">
        <v>100.0</v>
      </c>
      <c r="T9" s="33">
        <v>100.0</v>
      </c>
      <c r="U9" s="33">
        <v>100.0</v>
      </c>
      <c r="V9" s="33">
        <v>100.0</v>
      </c>
      <c r="W9" s="36">
        <v>100.0</v>
      </c>
      <c r="X9" s="37">
        <v>100.0</v>
      </c>
      <c r="Y9" s="37">
        <v>100.0</v>
      </c>
      <c r="Z9" s="37">
        <v>100.0</v>
      </c>
      <c r="AA9" s="37">
        <v>100.0</v>
      </c>
      <c r="AB9" s="38">
        <v>100.0</v>
      </c>
      <c r="AC9" s="38">
        <v>100.0</v>
      </c>
      <c r="AD9" s="39">
        <v>100.0</v>
      </c>
      <c r="AE9" s="40">
        <v>100.0</v>
      </c>
      <c r="AF9" s="40">
        <v>100.0</v>
      </c>
      <c r="AG9" s="39">
        <v>100.0</v>
      </c>
      <c r="AH9" s="39">
        <v>100.0</v>
      </c>
      <c r="AI9" s="41">
        <v>100.0</v>
      </c>
      <c r="AJ9" s="41">
        <v>100.0</v>
      </c>
      <c r="AK9" s="11">
        <v>100.0</v>
      </c>
      <c r="AL9" s="11">
        <v>100.0</v>
      </c>
      <c r="AM9" s="42">
        <f t="shared" si="7"/>
        <v>100</v>
      </c>
      <c r="AN9" s="11">
        <v>4.0</v>
      </c>
      <c r="AO9" s="11">
        <v>4.0</v>
      </c>
      <c r="AP9" s="11">
        <v>4.0</v>
      </c>
      <c r="AQ9" s="11">
        <v>4.0</v>
      </c>
      <c r="AR9" s="11">
        <v>4.0</v>
      </c>
      <c r="AS9" s="11">
        <v>4.0</v>
      </c>
      <c r="AT9" s="11">
        <v>4.0</v>
      </c>
      <c r="AU9" s="11">
        <v>4.0</v>
      </c>
      <c r="AV9" s="11">
        <v>4.0</v>
      </c>
      <c r="AW9" s="11">
        <f t="shared" si="4"/>
        <v>36</v>
      </c>
    </row>
    <row r="10" ht="15.75" customHeight="1">
      <c r="A10" s="27" t="s">
        <v>59</v>
      </c>
      <c r="B10" s="27" t="s">
        <v>91</v>
      </c>
      <c r="C10" s="11" t="s">
        <v>66</v>
      </c>
      <c r="D10" s="27" t="s">
        <v>60</v>
      </c>
      <c r="E10" s="27" t="s">
        <v>92</v>
      </c>
      <c r="F10" s="30">
        <v>3.0</v>
      </c>
      <c r="G10" s="30">
        <v>3.0</v>
      </c>
      <c r="H10" s="30">
        <v>2.0</v>
      </c>
      <c r="I10" s="30">
        <v>1.0</v>
      </c>
      <c r="J10" s="31">
        <f t="shared" si="1"/>
        <v>6</v>
      </c>
      <c r="K10" s="30">
        <v>1.0</v>
      </c>
      <c r="L10" s="30">
        <v>2.0</v>
      </c>
      <c r="M10" s="30">
        <f t="shared" si="2"/>
        <v>3</v>
      </c>
      <c r="N10" s="32">
        <f t="shared" si="3"/>
        <v>12</v>
      </c>
      <c r="O10" s="33">
        <v>91.0</v>
      </c>
      <c r="P10" s="34">
        <v>91.0</v>
      </c>
      <c r="Q10" s="34">
        <v>91.0</v>
      </c>
      <c r="R10" s="33">
        <v>91.0</v>
      </c>
      <c r="S10" s="33">
        <v>91.0</v>
      </c>
      <c r="T10" s="33">
        <v>90.0</v>
      </c>
      <c r="U10" s="33">
        <v>90.0</v>
      </c>
      <c r="V10" s="33">
        <v>91.0</v>
      </c>
      <c r="W10" s="36">
        <v>90.0</v>
      </c>
      <c r="X10" s="37">
        <v>90.0</v>
      </c>
      <c r="Y10" s="37">
        <v>90.0</v>
      </c>
      <c r="Z10" s="37">
        <v>90.0</v>
      </c>
      <c r="AA10" s="37">
        <v>90.0</v>
      </c>
      <c r="AB10" s="38">
        <v>90.0</v>
      </c>
      <c r="AC10" s="38">
        <v>90.0</v>
      </c>
      <c r="AD10" s="39">
        <v>91.0</v>
      </c>
      <c r="AE10" s="40">
        <v>90.0</v>
      </c>
      <c r="AF10" s="40">
        <v>91.0</v>
      </c>
      <c r="AG10" s="39">
        <v>91.0</v>
      </c>
      <c r="AH10" s="39">
        <v>85.0</v>
      </c>
      <c r="AI10" s="41">
        <v>85.0</v>
      </c>
      <c r="AJ10" s="41">
        <v>85.0</v>
      </c>
      <c r="AK10" s="11">
        <v>91.0</v>
      </c>
      <c r="AL10" s="11">
        <v>90.0</v>
      </c>
      <c r="AM10" s="42">
        <f t="shared" si="7"/>
        <v>89.79</v>
      </c>
      <c r="AN10" s="11">
        <v>2.0</v>
      </c>
      <c r="AO10" s="11">
        <v>2.0</v>
      </c>
      <c r="AP10" s="11">
        <v>3.0</v>
      </c>
      <c r="AQ10" s="11">
        <v>3.0</v>
      </c>
      <c r="AR10" s="11">
        <v>3.0</v>
      </c>
      <c r="AS10" s="11">
        <v>3.0</v>
      </c>
      <c r="AT10" s="11">
        <v>3.0</v>
      </c>
      <c r="AU10" s="11">
        <v>3.0</v>
      </c>
      <c r="AV10" s="11">
        <v>3.0</v>
      </c>
      <c r="AW10" s="11">
        <f t="shared" si="4"/>
        <v>25</v>
      </c>
    </row>
    <row r="11" ht="15.75" customHeight="1">
      <c r="A11" s="27" t="s">
        <v>59</v>
      </c>
      <c r="B11" s="27" t="s">
        <v>67</v>
      </c>
      <c r="C11" s="11" t="s">
        <v>66</v>
      </c>
      <c r="D11" s="27" t="s">
        <v>60</v>
      </c>
      <c r="E11" s="27" t="s">
        <v>93</v>
      </c>
      <c r="F11" s="30">
        <v>4.0</v>
      </c>
      <c r="G11" s="30">
        <v>3.0</v>
      </c>
      <c r="H11" s="30">
        <v>1.0</v>
      </c>
      <c r="I11" s="30">
        <v>1.0</v>
      </c>
      <c r="J11" s="31">
        <f t="shared" si="1"/>
        <v>5</v>
      </c>
      <c r="K11" s="30">
        <v>2.0</v>
      </c>
      <c r="L11" s="30">
        <v>2.0</v>
      </c>
      <c r="M11" s="30">
        <f t="shared" si="2"/>
        <v>4</v>
      </c>
      <c r="N11" s="32">
        <f t="shared" si="3"/>
        <v>13</v>
      </c>
      <c r="O11" s="33">
        <v>96.0</v>
      </c>
      <c r="P11" s="34">
        <v>92.0</v>
      </c>
      <c r="Q11" s="34">
        <v>92.0</v>
      </c>
      <c r="R11" s="33">
        <v>91.0</v>
      </c>
      <c r="S11" s="33">
        <v>94.0</v>
      </c>
      <c r="T11" s="33">
        <v>93.0</v>
      </c>
      <c r="U11" s="33">
        <v>97.0</v>
      </c>
      <c r="V11" s="33">
        <v>93.0</v>
      </c>
      <c r="W11" s="36">
        <v>95.0</v>
      </c>
      <c r="X11" s="37">
        <v>97.0</v>
      </c>
      <c r="Y11" s="37">
        <v>94.0</v>
      </c>
      <c r="Z11" s="37">
        <v>94.0</v>
      </c>
      <c r="AA11" s="37">
        <v>95.0</v>
      </c>
      <c r="AB11" s="38">
        <v>95.0</v>
      </c>
      <c r="AC11" s="38">
        <v>93.0</v>
      </c>
      <c r="AD11" s="39">
        <v>96.0</v>
      </c>
      <c r="AE11" s="40">
        <v>97.0</v>
      </c>
      <c r="AF11" s="40">
        <v>94.0</v>
      </c>
      <c r="AG11" s="39">
        <v>92.0</v>
      </c>
      <c r="AH11" s="39">
        <v>94.0</v>
      </c>
      <c r="AI11" s="41">
        <v>92.0</v>
      </c>
      <c r="AJ11" s="41">
        <v>97.0</v>
      </c>
      <c r="AK11" s="11">
        <v>93.0</v>
      </c>
      <c r="AL11" s="11">
        <v>97.0</v>
      </c>
      <c r="AM11" s="42">
        <f t="shared" si="7"/>
        <v>94.29</v>
      </c>
      <c r="AN11" s="11">
        <v>2.0</v>
      </c>
      <c r="AO11" s="11">
        <v>4.0</v>
      </c>
      <c r="AP11" s="11">
        <v>4.0</v>
      </c>
      <c r="AQ11" s="11">
        <v>3.0</v>
      </c>
      <c r="AR11" s="11">
        <v>4.0</v>
      </c>
      <c r="AS11" s="11">
        <v>4.0</v>
      </c>
      <c r="AT11" s="11">
        <v>3.0</v>
      </c>
      <c r="AU11" s="11">
        <v>4.0</v>
      </c>
      <c r="AV11" s="11">
        <v>4.0</v>
      </c>
      <c r="AW11" s="11">
        <f t="shared" si="4"/>
        <v>32</v>
      </c>
    </row>
    <row r="12" ht="15.75" customHeight="1">
      <c r="A12" s="27" t="s">
        <v>59</v>
      </c>
      <c r="B12" s="27" t="s">
        <v>94</v>
      </c>
      <c r="C12" s="11" t="s">
        <v>62</v>
      </c>
      <c r="D12" s="27" t="s">
        <v>60</v>
      </c>
      <c r="E12" s="27" t="s">
        <v>95</v>
      </c>
      <c r="F12" s="30">
        <v>4.0</v>
      </c>
      <c r="G12" s="30">
        <v>3.0</v>
      </c>
      <c r="H12" s="30">
        <v>2.0</v>
      </c>
      <c r="I12" s="30">
        <v>1.0</v>
      </c>
      <c r="J12" s="31">
        <f t="shared" si="1"/>
        <v>6</v>
      </c>
      <c r="K12" s="30">
        <v>1.0</v>
      </c>
      <c r="L12" s="30">
        <v>2.0</v>
      </c>
      <c r="M12" s="30">
        <f t="shared" si="2"/>
        <v>3</v>
      </c>
      <c r="N12" s="32">
        <f t="shared" si="3"/>
        <v>13</v>
      </c>
      <c r="O12" s="33" t="s">
        <v>97</v>
      </c>
      <c r="P12" s="34">
        <v>100.0</v>
      </c>
      <c r="Q12" s="34">
        <v>96.0</v>
      </c>
      <c r="R12" s="33">
        <v>95.0</v>
      </c>
      <c r="S12" s="33">
        <v>100.0</v>
      </c>
      <c r="T12" s="33">
        <v>100.0</v>
      </c>
      <c r="U12" s="33">
        <v>100.0</v>
      </c>
      <c r="V12" s="33">
        <v>95.0</v>
      </c>
      <c r="W12" s="36">
        <v>95.0</v>
      </c>
      <c r="X12" s="37">
        <v>100.0</v>
      </c>
      <c r="Y12" s="37">
        <v>95.0</v>
      </c>
      <c r="Z12" s="37">
        <v>90.0</v>
      </c>
      <c r="AA12" s="37">
        <v>95.0</v>
      </c>
      <c r="AB12" s="38">
        <v>100.0</v>
      </c>
      <c r="AC12" s="38">
        <v>96.0</v>
      </c>
      <c r="AD12" s="39">
        <v>96.0</v>
      </c>
      <c r="AE12" s="40">
        <v>97.0</v>
      </c>
      <c r="AF12" s="40">
        <v>100.0</v>
      </c>
      <c r="AG12" s="39">
        <v>100.0</v>
      </c>
      <c r="AH12" s="39" t="s">
        <v>97</v>
      </c>
      <c r="AI12" s="41">
        <v>100.0</v>
      </c>
      <c r="AJ12" s="41">
        <v>100.0</v>
      </c>
      <c r="AK12" s="11">
        <v>100.0</v>
      </c>
      <c r="AL12" s="11">
        <v>100.0</v>
      </c>
      <c r="AM12" s="42">
        <f t="shared" si="7"/>
        <v>97.73</v>
      </c>
      <c r="AN12" s="11">
        <v>4.0</v>
      </c>
      <c r="AO12" s="11">
        <v>3.0</v>
      </c>
      <c r="AP12" s="11">
        <v>4.0</v>
      </c>
      <c r="AQ12" s="11">
        <v>4.0</v>
      </c>
      <c r="AR12" s="11">
        <v>4.0</v>
      </c>
      <c r="AS12" s="11">
        <v>4.0</v>
      </c>
      <c r="AT12" s="11">
        <v>4.0</v>
      </c>
      <c r="AU12" s="11">
        <v>3.0</v>
      </c>
      <c r="AV12" s="11">
        <v>4.0</v>
      </c>
      <c r="AW12" s="11">
        <f t="shared" si="4"/>
        <v>34</v>
      </c>
    </row>
    <row r="13" ht="15.75" customHeight="1">
      <c r="A13" s="27" t="s">
        <v>59</v>
      </c>
      <c r="B13" s="27" t="s">
        <v>76</v>
      </c>
      <c r="C13" s="11" t="s">
        <v>66</v>
      </c>
      <c r="D13" s="27" t="s">
        <v>60</v>
      </c>
      <c r="E13" s="27" t="s">
        <v>99</v>
      </c>
      <c r="F13" s="30">
        <v>5.0</v>
      </c>
      <c r="G13" s="30">
        <v>3.0</v>
      </c>
      <c r="H13" s="30">
        <v>2.0</v>
      </c>
      <c r="I13" s="30">
        <v>1.0</v>
      </c>
      <c r="J13" s="31">
        <f t="shared" si="1"/>
        <v>6</v>
      </c>
      <c r="K13" s="30">
        <v>1.0</v>
      </c>
      <c r="L13" s="30">
        <v>2.0</v>
      </c>
      <c r="M13" s="30">
        <f t="shared" si="2"/>
        <v>3</v>
      </c>
      <c r="N13" s="32">
        <f t="shared" si="3"/>
        <v>14</v>
      </c>
      <c r="O13" s="33">
        <v>100.0</v>
      </c>
      <c r="P13" s="34">
        <v>100.0</v>
      </c>
      <c r="Q13" s="34">
        <v>100.0</v>
      </c>
      <c r="R13" s="33">
        <v>100.0</v>
      </c>
      <c r="S13" s="33">
        <v>100.0</v>
      </c>
      <c r="T13" s="33">
        <v>100.0</v>
      </c>
      <c r="U13" s="33">
        <v>100.0</v>
      </c>
      <c r="V13" s="33">
        <v>100.0</v>
      </c>
      <c r="W13" s="36">
        <v>100.0</v>
      </c>
      <c r="X13" s="37">
        <v>100.0</v>
      </c>
      <c r="Y13" s="37">
        <v>100.0</v>
      </c>
      <c r="Z13" s="37">
        <v>100.0</v>
      </c>
      <c r="AA13" s="37">
        <v>100.0</v>
      </c>
      <c r="AB13" s="38">
        <v>100.0</v>
      </c>
      <c r="AC13" s="38">
        <v>100.0</v>
      </c>
      <c r="AD13" s="39">
        <v>100.0</v>
      </c>
      <c r="AE13" s="40">
        <v>100.0</v>
      </c>
      <c r="AF13" s="40">
        <v>100.0</v>
      </c>
      <c r="AG13" s="39">
        <v>100.0</v>
      </c>
      <c r="AH13" s="39">
        <v>100.0</v>
      </c>
      <c r="AI13" s="41">
        <v>100.0</v>
      </c>
      <c r="AJ13" s="41">
        <v>100.0</v>
      </c>
      <c r="AK13" s="11">
        <v>100.0</v>
      </c>
      <c r="AL13" s="11">
        <v>100.0</v>
      </c>
      <c r="AM13" s="42">
        <f t="shared" si="7"/>
        <v>100</v>
      </c>
      <c r="AN13" s="11">
        <v>4.0</v>
      </c>
      <c r="AO13" s="11">
        <v>4.0</v>
      </c>
      <c r="AP13" s="11">
        <v>4.0</v>
      </c>
      <c r="AQ13" s="11">
        <v>4.0</v>
      </c>
      <c r="AR13" s="11">
        <v>4.0</v>
      </c>
      <c r="AS13" s="11">
        <v>4.0</v>
      </c>
      <c r="AT13" s="11">
        <v>4.0</v>
      </c>
      <c r="AU13" s="11">
        <v>4.0</v>
      </c>
      <c r="AV13" s="11">
        <v>4.0</v>
      </c>
      <c r="AW13" s="11">
        <f t="shared" si="4"/>
        <v>36</v>
      </c>
    </row>
    <row r="14" ht="15.75" customHeight="1">
      <c r="A14" s="27" t="s">
        <v>59</v>
      </c>
      <c r="B14" s="27" t="s">
        <v>100</v>
      </c>
      <c r="C14" s="11" t="s">
        <v>66</v>
      </c>
      <c r="D14" s="27" t="s">
        <v>60</v>
      </c>
      <c r="E14" s="27" t="s">
        <v>101</v>
      </c>
      <c r="F14" s="30">
        <v>3.0</v>
      </c>
      <c r="G14" s="30">
        <v>3.0</v>
      </c>
      <c r="H14" s="30">
        <v>2.0</v>
      </c>
      <c r="I14" s="30">
        <v>1.0</v>
      </c>
      <c r="J14" s="31">
        <f t="shared" si="1"/>
        <v>6</v>
      </c>
      <c r="K14" s="30">
        <v>1.0</v>
      </c>
      <c r="L14" s="30">
        <v>2.0</v>
      </c>
      <c r="M14" s="30">
        <f t="shared" si="2"/>
        <v>3</v>
      </c>
      <c r="N14" s="32">
        <f t="shared" si="3"/>
        <v>12</v>
      </c>
      <c r="O14" s="33">
        <v>91.0</v>
      </c>
      <c r="P14" s="34">
        <v>92.0</v>
      </c>
      <c r="Q14" s="34">
        <v>92.0</v>
      </c>
      <c r="R14" s="33">
        <v>88.0</v>
      </c>
      <c r="S14" s="33">
        <v>94.0</v>
      </c>
      <c r="T14" s="33">
        <v>94.0</v>
      </c>
      <c r="U14" s="33">
        <v>98.0</v>
      </c>
      <c r="V14" s="33">
        <v>88.0</v>
      </c>
      <c r="W14" s="36">
        <v>98.0</v>
      </c>
      <c r="X14" s="37">
        <v>91.0</v>
      </c>
      <c r="Y14" s="37">
        <v>91.0</v>
      </c>
      <c r="Z14" s="37">
        <v>92.0</v>
      </c>
      <c r="AA14" s="37">
        <v>94.0</v>
      </c>
      <c r="AB14" s="38">
        <v>93.0</v>
      </c>
      <c r="AC14" s="38">
        <v>91.0</v>
      </c>
      <c r="AD14" s="39">
        <v>98.0</v>
      </c>
      <c r="AE14" s="40">
        <v>91.0</v>
      </c>
      <c r="AF14" s="40">
        <v>88.0</v>
      </c>
      <c r="AG14" s="39">
        <v>92.0</v>
      </c>
      <c r="AH14" s="39">
        <v>92.0</v>
      </c>
      <c r="AI14" s="41">
        <v>96.0</v>
      </c>
      <c r="AJ14" s="41">
        <v>96.0</v>
      </c>
      <c r="AK14" s="11">
        <v>91.0</v>
      </c>
      <c r="AL14" s="11">
        <v>98.0</v>
      </c>
      <c r="AM14" s="42">
        <f t="shared" si="7"/>
        <v>92.88</v>
      </c>
      <c r="AN14" s="11">
        <v>4.0</v>
      </c>
      <c r="AO14" s="11">
        <v>4.0</v>
      </c>
      <c r="AP14" s="11">
        <v>4.0</v>
      </c>
      <c r="AQ14" s="11">
        <v>4.0</v>
      </c>
      <c r="AR14" s="11">
        <v>3.0</v>
      </c>
      <c r="AS14" s="11">
        <v>4.0</v>
      </c>
      <c r="AT14" s="11">
        <v>4.0</v>
      </c>
      <c r="AU14" s="11">
        <v>4.0</v>
      </c>
      <c r="AV14" s="11">
        <v>3.0</v>
      </c>
      <c r="AW14" s="11">
        <f t="shared" si="4"/>
        <v>34</v>
      </c>
    </row>
    <row r="15" ht="15.75" customHeight="1">
      <c r="A15" s="27" t="s">
        <v>59</v>
      </c>
      <c r="B15" s="27" t="s">
        <v>71</v>
      </c>
      <c r="C15" s="11" t="s">
        <v>69</v>
      </c>
      <c r="D15" s="27" t="s">
        <v>60</v>
      </c>
      <c r="E15" s="27" t="s">
        <v>102</v>
      </c>
      <c r="F15" s="30">
        <v>3.0</v>
      </c>
      <c r="G15" s="30">
        <v>4.0</v>
      </c>
      <c r="H15" s="30">
        <v>2.0</v>
      </c>
      <c r="I15" s="30">
        <v>2.0</v>
      </c>
      <c r="J15" s="31">
        <f t="shared" si="1"/>
        <v>8</v>
      </c>
      <c r="K15" s="30">
        <v>2.0</v>
      </c>
      <c r="L15" s="30">
        <v>3.0</v>
      </c>
      <c r="M15" s="30">
        <f t="shared" si="2"/>
        <v>5</v>
      </c>
      <c r="N15" s="32">
        <f t="shared" si="3"/>
        <v>16</v>
      </c>
      <c r="O15" s="33">
        <v>98.0</v>
      </c>
      <c r="P15" s="34">
        <v>98.0</v>
      </c>
      <c r="Q15" s="34">
        <v>97.0</v>
      </c>
      <c r="R15" s="33">
        <v>99.0</v>
      </c>
      <c r="S15" s="33">
        <v>100.0</v>
      </c>
      <c r="T15" s="33">
        <v>98.0</v>
      </c>
      <c r="U15" s="33">
        <v>97.0</v>
      </c>
      <c r="V15" s="33">
        <v>95.0</v>
      </c>
      <c r="W15" s="36">
        <v>98.0</v>
      </c>
      <c r="X15" s="37">
        <v>97.0</v>
      </c>
      <c r="Y15" s="37">
        <v>95.0</v>
      </c>
      <c r="Z15" s="37">
        <v>95.0</v>
      </c>
      <c r="AA15" s="37">
        <v>93.0</v>
      </c>
      <c r="AB15" s="38">
        <v>98.0</v>
      </c>
      <c r="AC15" s="38">
        <v>97.0</v>
      </c>
      <c r="AD15" s="39">
        <v>98.0</v>
      </c>
      <c r="AE15" s="40">
        <v>97.0</v>
      </c>
      <c r="AF15" s="40">
        <v>92.0</v>
      </c>
      <c r="AG15" s="39">
        <v>99.0</v>
      </c>
      <c r="AH15" s="39">
        <v>93.0</v>
      </c>
      <c r="AI15" s="41">
        <v>98.0</v>
      </c>
      <c r="AJ15" s="41">
        <v>98.0</v>
      </c>
      <c r="AK15" s="11">
        <v>97.0</v>
      </c>
      <c r="AL15" s="11">
        <v>95.0</v>
      </c>
      <c r="AM15" s="42">
        <f t="shared" si="7"/>
        <v>96.75</v>
      </c>
      <c r="AN15" s="11">
        <v>4.0</v>
      </c>
      <c r="AO15" s="11">
        <v>3.0</v>
      </c>
      <c r="AP15" s="11">
        <v>4.0</v>
      </c>
      <c r="AQ15" s="11">
        <v>3.0</v>
      </c>
      <c r="AR15" s="11">
        <v>4.0</v>
      </c>
      <c r="AS15" s="11">
        <v>4.0</v>
      </c>
      <c r="AT15" s="11">
        <v>3.0</v>
      </c>
      <c r="AU15" s="11">
        <v>3.0</v>
      </c>
      <c r="AV15" s="11">
        <v>3.0</v>
      </c>
      <c r="AW15" s="11">
        <f t="shared" si="4"/>
        <v>31</v>
      </c>
    </row>
    <row r="16" ht="15.75" customHeight="1">
      <c r="A16" s="27" t="s">
        <v>59</v>
      </c>
      <c r="B16" s="27" t="s">
        <v>76</v>
      </c>
      <c r="C16" s="11" t="s">
        <v>66</v>
      </c>
      <c r="D16" s="27" t="s">
        <v>60</v>
      </c>
      <c r="E16" s="27" t="s">
        <v>103</v>
      </c>
      <c r="F16" s="30">
        <v>5.0</v>
      </c>
      <c r="G16" s="30">
        <v>3.0</v>
      </c>
      <c r="H16" s="30">
        <v>2.0</v>
      </c>
      <c r="I16" s="30">
        <v>1.0</v>
      </c>
      <c r="J16" s="31">
        <f t="shared" si="1"/>
        <v>6</v>
      </c>
      <c r="K16" s="30">
        <v>1.0</v>
      </c>
      <c r="L16" s="30">
        <v>2.0</v>
      </c>
      <c r="M16" s="30">
        <f t="shared" si="2"/>
        <v>3</v>
      </c>
      <c r="N16" s="32">
        <f t="shared" si="3"/>
        <v>14</v>
      </c>
      <c r="O16" s="33">
        <v>100.0</v>
      </c>
      <c r="P16" s="34">
        <v>100.0</v>
      </c>
      <c r="Q16" s="34">
        <v>100.0</v>
      </c>
      <c r="R16" s="33">
        <v>100.0</v>
      </c>
      <c r="S16" s="33">
        <v>100.0</v>
      </c>
      <c r="T16" s="33">
        <v>100.0</v>
      </c>
      <c r="U16" s="33">
        <v>100.0</v>
      </c>
      <c r="V16" s="33">
        <v>100.0</v>
      </c>
      <c r="W16" s="36">
        <v>100.0</v>
      </c>
      <c r="X16" s="37">
        <v>100.0</v>
      </c>
      <c r="Y16" s="37">
        <v>100.0</v>
      </c>
      <c r="Z16" s="37">
        <v>100.0</v>
      </c>
      <c r="AA16" s="37">
        <v>100.0</v>
      </c>
      <c r="AB16" s="38">
        <v>100.0</v>
      </c>
      <c r="AC16" s="38">
        <v>100.0</v>
      </c>
      <c r="AD16" s="39">
        <v>100.0</v>
      </c>
      <c r="AE16" s="40">
        <v>100.0</v>
      </c>
      <c r="AF16" s="40">
        <v>100.0</v>
      </c>
      <c r="AG16" s="39">
        <v>100.0</v>
      </c>
      <c r="AH16" s="39">
        <v>100.0</v>
      </c>
      <c r="AI16" s="41">
        <v>100.0</v>
      </c>
      <c r="AJ16" s="41">
        <v>100.0</v>
      </c>
      <c r="AK16" s="11">
        <v>100.0</v>
      </c>
      <c r="AL16" s="11">
        <v>100.0</v>
      </c>
      <c r="AM16" s="42">
        <f t="shared" si="7"/>
        <v>100</v>
      </c>
      <c r="AN16" s="11">
        <v>4.0</v>
      </c>
      <c r="AO16" s="11">
        <v>4.0</v>
      </c>
      <c r="AP16" s="11">
        <v>4.0</v>
      </c>
      <c r="AQ16" s="11">
        <v>4.0</v>
      </c>
      <c r="AR16" s="11">
        <v>4.0</v>
      </c>
      <c r="AS16" s="11">
        <v>4.0</v>
      </c>
      <c r="AT16" s="11">
        <v>4.0</v>
      </c>
      <c r="AU16" s="11">
        <v>4.0</v>
      </c>
      <c r="AV16" s="11">
        <v>4.0</v>
      </c>
      <c r="AW16" s="11">
        <f t="shared" si="4"/>
        <v>36</v>
      </c>
    </row>
    <row r="17" ht="15.75" customHeight="1">
      <c r="A17" s="27" t="s">
        <v>59</v>
      </c>
      <c r="B17" s="27" t="s">
        <v>94</v>
      </c>
      <c r="C17" s="11" t="s">
        <v>62</v>
      </c>
      <c r="D17" s="27" t="s">
        <v>60</v>
      </c>
      <c r="E17" s="27" t="s">
        <v>104</v>
      </c>
      <c r="F17" s="30">
        <v>4.0</v>
      </c>
      <c r="G17" s="30">
        <v>3.0</v>
      </c>
      <c r="H17" s="30">
        <v>2.0</v>
      </c>
      <c r="I17" s="30">
        <v>1.0</v>
      </c>
      <c r="J17" s="31">
        <f t="shared" si="1"/>
        <v>6</v>
      </c>
      <c r="K17" s="30">
        <v>1.0</v>
      </c>
      <c r="L17" s="30">
        <v>2.0</v>
      </c>
      <c r="M17" s="30">
        <f t="shared" si="2"/>
        <v>3</v>
      </c>
      <c r="N17" s="32">
        <f t="shared" si="3"/>
        <v>13</v>
      </c>
      <c r="O17" s="33">
        <v>90.0</v>
      </c>
      <c r="P17" s="34">
        <v>92.0</v>
      </c>
      <c r="Q17" s="34">
        <v>91.0</v>
      </c>
      <c r="R17" s="33">
        <v>90.0</v>
      </c>
      <c r="S17" s="33">
        <v>93.0</v>
      </c>
      <c r="T17" s="33">
        <v>95.0</v>
      </c>
      <c r="U17" s="33">
        <v>95.0</v>
      </c>
      <c r="V17" s="33">
        <v>95.0</v>
      </c>
      <c r="W17" s="36">
        <v>95.0</v>
      </c>
      <c r="X17" s="37">
        <v>93.0</v>
      </c>
      <c r="Y17" s="37">
        <v>93.0</v>
      </c>
      <c r="Z17" s="37">
        <v>92.0</v>
      </c>
      <c r="AA17" s="37">
        <v>93.0</v>
      </c>
      <c r="AB17" s="38">
        <v>92.0</v>
      </c>
      <c r="AC17" s="38">
        <v>95.0</v>
      </c>
      <c r="AD17" s="39">
        <v>90.0</v>
      </c>
      <c r="AE17" s="40">
        <v>95.0</v>
      </c>
      <c r="AF17" s="40">
        <v>93.0</v>
      </c>
      <c r="AG17" s="39">
        <v>92.0</v>
      </c>
      <c r="AH17" s="39">
        <v>93.0</v>
      </c>
      <c r="AI17" s="41">
        <v>90.0</v>
      </c>
      <c r="AJ17" s="41">
        <v>90.0</v>
      </c>
      <c r="AK17" s="11">
        <v>95.0</v>
      </c>
      <c r="AL17" s="11">
        <v>95.0</v>
      </c>
      <c r="AM17" s="42">
        <v>93.26</v>
      </c>
      <c r="AN17" s="11">
        <v>3.0</v>
      </c>
      <c r="AO17" s="11">
        <v>3.0</v>
      </c>
      <c r="AP17" s="11">
        <v>4.0</v>
      </c>
      <c r="AQ17" s="11">
        <v>4.0</v>
      </c>
      <c r="AR17" s="11">
        <v>4.0</v>
      </c>
      <c r="AS17" s="11">
        <v>4.0</v>
      </c>
      <c r="AT17" s="11">
        <v>4.0</v>
      </c>
      <c r="AU17" s="11">
        <v>4.0</v>
      </c>
      <c r="AV17" s="11">
        <v>4.0</v>
      </c>
      <c r="AW17" s="11">
        <f t="shared" si="4"/>
        <v>34</v>
      </c>
    </row>
    <row r="18" ht="15.75" customHeight="1">
      <c r="A18" s="27" t="s">
        <v>59</v>
      </c>
      <c r="B18" s="27" t="s">
        <v>81</v>
      </c>
      <c r="C18" s="11" t="s">
        <v>66</v>
      </c>
      <c r="D18" s="27" t="s">
        <v>60</v>
      </c>
      <c r="E18" s="27" t="s">
        <v>105</v>
      </c>
      <c r="F18" s="30">
        <v>4.0</v>
      </c>
      <c r="G18" s="30">
        <v>4.0</v>
      </c>
      <c r="H18" s="30">
        <v>3.0</v>
      </c>
      <c r="I18" s="30">
        <v>1.0</v>
      </c>
      <c r="J18" s="31">
        <f t="shared" si="1"/>
        <v>8</v>
      </c>
      <c r="K18" s="30">
        <v>1.0</v>
      </c>
      <c r="L18" s="30">
        <v>3.0</v>
      </c>
      <c r="M18" s="30">
        <f t="shared" si="2"/>
        <v>4</v>
      </c>
      <c r="N18" s="32">
        <f t="shared" si="3"/>
        <v>16</v>
      </c>
      <c r="O18" s="33">
        <v>94.0</v>
      </c>
      <c r="P18" s="34">
        <v>92.0</v>
      </c>
      <c r="Q18" s="34">
        <v>98.0</v>
      </c>
      <c r="R18" s="33">
        <v>92.0</v>
      </c>
      <c r="S18" s="33">
        <v>98.0</v>
      </c>
      <c r="T18" s="33">
        <v>88.0</v>
      </c>
      <c r="U18" s="33">
        <v>97.0</v>
      </c>
      <c r="V18" s="33">
        <v>89.0</v>
      </c>
      <c r="W18" s="36">
        <v>93.0</v>
      </c>
      <c r="X18" s="37">
        <v>90.0</v>
      </c>
      <c r="Y18" s="37">
        <v>90.0</v>
      </c>
      <c r="Z18" s="37">
        <v>91.0</v>
      </c>
      <c r="AA18" s="37">
        <v>97.0</v>
      </c>
      <c r="AB18" s="38">
        <v>94.0</v>
      </c>
      <c r="AC18" s="38">
        <v>91.0</v>
      </c>
      <c r="AD18" s="39">
        <v>91.0</v>
      </c>
      <c r="AE18" s="40">
        <v>91.0</v>
      </c>
      <c r="AF18" s="40">
        <v>91.0</v>
      </c>
      <c r="AG18" s="39">
        <v>91.0</v>
      </c>
      <c r="AH18" s="39">
        <v>88.0</v>
      </c>
      <c r="AI18" s="41">
        <v>92.0</v>
      </c>
      <c r="AJ18" s="41">
        <v>92.0</v>
      </c>
      <c r="AK18" s="11">
        <v>87.0</v>
      </c>
      <c r="AL18" s="11">
        <v>93.0</v>
      </c>
      <c r="AM18" s="42">
        <f t="shared" ref="AM18:AM21" si="8">ROUND(AVERAGE(O18:AL18), 2)</f>
        <v>92.08</v>
      </c>
      <c r="AN18" s="11">
        <v>4.0</v>
      </c>
      <c r="AO18" s="11">
        <v>4.0</v>
      </c>
      <c r="AP18" s="11">
        <v>4.0</v>
      </c>
      <c r="AQ18" s="11">
        <v>4.0</v>
      </c>
      <c r="AR18" s="11">
        <v>4.0</v>
      </c>
      <c r="AS18" s="11">
        <v>4.0</v>
      </c>
      <c r="AT18" s="11">
        <v>3.0</v>
      </c>
      <c r="AU18" s="11">
        <v>4.0</v>
      </c>
      <c r="AV18" s="11">
        <v>4.0</v>
      </c>
      <c r="AW18" s="11">
        <f t="shared" si="4"/>
        <v>35</v>
      </c>
    </row>
    <row r="19" ht="15.75" customHeight="1">
      <c r="A19" s="27" t="s">
        <v>59</v>
      </c>
      <c r="B19" s="27" t="s">
        <v>106</v>
      </c>
      <c r="C19" s="11" t="s">
        <v>66</v>
      </c>
      <c r="D19" s="27" t="s">
        <v>60</v>
      </c>
      <c r="E19" s="27" t="s">
        <v>107</v>
      </c>
      <c r="F19" s="30">
        <v>4.0</v>
      </c>
      <c r="G19" s="30">
        <v>4.0</v>
      </c>
      <c r="H19" s="30">
        <v>2.0</v>
      </c>
      <c r="I19" s="30">
        <v>2.0</v>
      </c>
      <c r="J19" s="31">
        <f t="shared" si="1"/>
        <v>8</v>
      </c>
      <c r="K19" s="30">
        <v>2.0</v>
      </c>
      <c r="L19" s="30">
        <v>2.0</v>
      </c>
      <c r="M19" s="30">
        <f t="shared" si="2"/>
        <v>4</v>
      </c>
      <c r="N19" s="32">
        <f t="shared" si="3"/>
        <v>16</v>
      </c>
      <c r="O19" s="33">
        <v>98.0</v>
      </c>
      <c r="P19" s="34">
        <v>98.0</v>
      </c>
      <c r="Q19" s="34">
        <v>100.0</v>
      </c>
      <c r="R19" s="33">
        <v>98.0</v>
      </c>
      <c r="S19" s="33">
        <v>100.0</v>
      </c>
      <c r="T19" s="33">
        <v>100.0</v>
      </c>
      <c r="U19" s="33">
        <v>98.0</v>
      </c>
      <c r="V19" s="33">
        <v>100.0</v>
      </c>
      <c r="W19" s="36">
        <v>100.0</v>
      </c>
      <c r="X19" s="37">
        <v>98.0</v>
      </c>
      <c r="Y19" s="37">
        <v>98.0</v>
      </c>
      <c r="Z19" s="37">
        <v>100.0</v>
      </c>
      <c r="AA19" s="37">
        <v>99.0</v>
      </c>
      <c r="AB19" s="38">
        <v>98.0</v>
      </c>
      <c r="AC19" s="38">
        <v>98.0</v>
      </c>
      <c r="AD19" s="39">
        <v>100.0</v>
      </c>
      <c r="AE19" s="40">
        <v>99.0</v>
      </c>
      <c r="AF19" s="40">
        <v>98.0</v>
      </c>
      <c r="AG19" s="39">
        <v>100.0</v>
      </c>
      <c r="AH19" s="39">
        <v>98.0</v>
      </c>
      <c r="AI19" s="41">
        <v>100.0</v>
      </c>
      <c r="AJ19" s="41">
        <v>100.0</v>
      </c>
      <c r="AK19" s="11">
        <v>98.0</v>
      </c>
      <c r="AL19" s="11">
        <v>98.0</v>
      </c>
      <c r="AM19" s="42">
        <f t="shared" si="8"/>
        <v>98.92</v>
      </c>
      <c r="AN19" s="11">
        <v>4.0</v>
      </c>
      <c r="AO19" s="11">
        <v>4.0</v>
      </c>
      <c r="AP19" s="11">
        <v>4.0</v>
      </c>
      <c r="AQ19" s="11">
        <v>4.0</v>
      </c>
      <c r="AR19" s="11">
        <v>4.0</v>
      </c>
      <c r="AS19" s="11">
        <v>4.0</v>
      </c>
      <c r="AT19" s="11">
        <v>4.0</v>
      </c>
      <c r="AU19" s="11">
        <v>4.0</v>
      </c>
      <c r="AV19" s="11">
        <v>4.0</v>
      </c>
      <c r="AW19" s="11">
        <f t="shared" si="4"/>
        <v>36</v>
      </c>
    </row>
    <row r="20" ht="15.75" customHeight="1">
      <c r="A20" s="27" t="s">
        <v>59</v>
      </c>
      <c r="B20" s="27" t="s">
        <v>109</v>
      </c>
      <c r="C20" s="11" t="s">
        <v>62</v>
      </c>
      <c r="D20" s="27" t="s">
        <v>60</v>
      </c>
      <c r="E20" s="27" t="s">
        <v>110</v>
      </c>
      <c r="F20" s="30">
        <v>4.0</v>
      </c>
      <c r="G20" s="30">
        <v>4.0</v>
      </c>
      <c r="H20" s="30">
        <v>3.0</v>
      </c>
      <c r="I20" s="30">
        <v>2.0</v>
      </c>
      <c r="J20" s="31">
        <f t="shared" si="1"/>
        <v>9</v>
      </c>
      <c r="K20" s="30">
        <v>2.0</v>
      </c>
      <c r="L20" s="30">
        <v>2.0</v>
      </c>
      <c r="M20" s="30">
        <f t="shared" si="2"/>
        <v>4</v>
      </c>
      <c r="N20" s="32">
        <f t="shared" si="3"/>
        <v>17</v>
      </c>
      <c r="O20" s="33">
        <v>100.0</v>
      </c>
      <c r="P20" s="34">
        <v>100.0</v>
      </c>
      <c r="Q20" s="34">
        <v>95.0</v>
      </c>
      <c r="R20" s="33">
        <v>95.0</v>
      </c>
      <c r="S20" s="33">
        <v>100.0</v>
      </c>
      <c r="T20" s="33">
        <v>100.0</v>
      </c>
      <c r="U20" s="33">
        <v>95.0</v>
      </c>
      <c r="V20" s="33">
        <v>95.0</v>
      </c>
      <c r="W20" s="36">
        <v>95.0</v>
      </c>
      <c r="X20" s="37">
        <v>100.0</v>
      </c>
      <c r="Y20" s="37">
        <v>100.0</v>
      </c>
      <c r="Z20" s="37">
        <v>100.0</v>
      </c>
      <c r="AA20" s="37">
        <v>95.0</v>
      </c>
      <c r="AB20" s="38">
        <v>100.0</v>
      </c>
      <c r="AC20" s="38">
        <v>100.0</v>
      </c>
      <c r="AD20" s="39">
        <v>100.0</v>
      </c>
      <c r="AE20" s="40">
        <v>95.0</v>
      </c>
      <c r="AF20" s="40">
        <v>100.0</v>
      </c>
      <c r="AG20" s="39">
        <v>100.0</v>
      </c>
      <c r="AH20" s="39">
        <v>100.0</v>
      </c>
      <c r="AI20" s="41">
        <v>95.0</v>
      </c>
      <c r="AJ20" s="41">
        <v>100.0</v>
      </c>
      <c r="AK20" s="11">
        <v>100.0</v>
      </c>
      <c r="AL20" s="11">
        <v>100.0</v>
      </c>
      <c r="AM20" s="42">
        <f t="shared" si="8"/>
        <v>98.33</v>
      </c>
      <c r="AN20" s="11">
        <v>4.0</v>
      </c>
      <c r="AO20" s="11">
        <v>4.0</v>
      </c>
      <c r="AP20" s="11">
        <v>4.0</v>
      </c>
      <c r="AQ20" s="11">
        <v>4.0</v>
      </c>
      <c r="AR20" s="11">
        <v>4.0</v>
      </c>
      <c r="AS20" s="11">
        <v>4.0</v>
      </c>
      <c r="AT20" s="11">
        <v>4.0</v>
      </c>
      <c r="AU20" s="11">
        <v>4.0</v>
      </c>
      <c r="AV20" s="11">
        <v>4.0</v>
      </c>
      <c r="AW20" s="11">
        <f t="shared" si="4"/>
        <v>36</v>
      </c>
    </row>
    <row r="21" ht="15.75" customHeight="1">
      <c r="A21" s="27" t="s">
        <v>59</v>
      </c>
      <c r="B21" s="27" t="s">
        <v>67</v>
      </c>
      <c r="C21" s="11" t="s">
        <v>66</v>
      </c>
      <c r="D21" s="27" t="s">
        <v>60</v>
      </c>
      <c r="E21" s="27" t="s">
        <v>111</v>
      </c>
      <c r="F21" s="30">
        <v>5.0</v>
      </c>
      <c r="G21" s="30">
        <v>5.0</v>
      </c>
      <c r="H21" s="30">
        <v>2.0</v>
      </c>
      <c r="I21" s="30">
        <v>2.0</v>
      </c>
      <c r="J21" s="31">
        <f t="shared" si="1"/>
        <v>9</v>
      </c>
      <c r="K21" s="30">
        <v>2.0</v>
      </c>
      <c r="L21" s="30">
        <v>3.0</v>
      </c>
      <c r="M21" s="30">
        <f t="shared" si="2"/>
        <v>5</v>
      </c>
      <c r="N21" s="32">
        <f t="shared" si="3"/>
        <v>19</v>
      </c>
      <c r="O21" s="33">
        <v>98.0</v>
      </c>
      <c r="P21" s="34">
        <v>95.0</v>
      </c>
      <c r="Q21" s="34">
        <v>93.0</v>
      </c>
      <c r="R21" s="33">
        <v>95.0</v>
      </c>
      <c r="S21" s="33">
        <v>95.0</v>
      </c>
      <c r="T21" s="33">
        <v>98.0</v>
      </c>
      <c r="U21" s="33">
        <v>99.0</v>
      </c>
      <c r="V21" s="33">
        <v>95.0</v>
      </c>
      <c r="W21" s="36">
        <v>95.0</v>
      </c>
      <c r="X21" s="37">
        <v>97.0</v>
      </c>
      <c r="Y21" s="37">
        <v>98.0</v>
      </c>
      <c r="Z21" s="37">
        <v>95.0</v>
      </c>
      <c r="AA21" s="37">
        <v>95.0</v>
      </c>
      <c r="AB21" s="38">
        <v>96.0</v>
      </c>
      <c r="AC21" s="38">
        <v>95.0</v>
      </c>
      <c r="AD21" s="39">
        <v>98.0</v>
      </c>
      <c r="AE21" s="40">
        <v>95.0</v>
      </c>
      <c r="AF21" s="40">
        <v>95.0</v>
      </c>
      <c r="AG21" s="39">
        <v>96.0</v>
      </c>
      <c r="AH21" s="39">
        <v>96.0</v>
      </c>
      <c r="AI21" s="41">
        <v>98.0</v>
      </c>
      <c r="AJ21" s="41">
        <v>96.0</v>
      </c>
      <c r="AK21" s="11">
        <v>95.0</v>
      </c>
      <c r="AL21" s="11">
        <v>97.0</v>
      </c>
      <c r="AM21" s="42">
        <f t="shared" si="8"/>
        <v>96.04</v>
      </c>
      <c r="AN21" s="11">
        <v>4.0</v>
      </c>
      <c r="AO21" s="11">
        <v>4.0</v>
      </c>
      <c r="AP21" s="11">
        <v>4.0</v>
      </c>
      <c r="AQ21" s="11">
        <v>3.0</v>
      </c>
      <c r="AR21" s="11">
        <v>4.0</v>
      </c>
      <c r="AS21" s="11">
        <v>4.0</v>
      </c>
      <c r="AT21" s="11">
        <v>4.0</v>
      </c>
      <c r="AU21" s="11">
        <v>4.0</v>
      </c>
      <c r="AV21" s="11">
        <v>4.0</v>
      </c>
      <c r="AW21" s="11">
        <f t="shared" si="4"/>
        <v>35</v>
      </c>
    </row>
    <row r="22" ht="15.75" customHeight="1">
      <c r="A22" s="27" t="s">
        <v>59</v>
      </c>
      <c r="B22" s="27" t="s">
        <v>61</v>
      </c>
      <c r="C22" s="11" t="s">
        <v>62</v>
      </c>
      <c r="D22" s="27" t="s">
        <v>60</v>
      </c>
      <c r="E22" s="27" t="s">
        <v>112</v>
      </c>
      <c r="F22" s="30">
        <v>3.0</v>
      </c>
      <c r="G22" s="30">
        <v>3.0</v>
      </c>
      <c r="H22" s="30">
        <v>2.0</v>
      </c>
      <c r="I22" s="30">
        <v>1.0</v>
      </c>
      <c r="J22" s="31">
        <f t="shared" si="1"/>
        <v>6</v>
      </c>
      <c r="K22" s="30">
        <v>1.0</v>
      </c>
      <c r="L22" s="30">
        <v>2.0</v>
      </c>
      <c r="M22" s="30">
        <f t="shared" si="2"/>
        <v>3</v>
      </c>
      <c r="N22" s="32">
        <f t="shared" si="3"/>
        <v>12</v>
      </c>
      <c r="O22" s="33">
        <v>2.0</v>
      </c>
      <c r="P22" s="34">
        <v>3.0</v>
      </c>
      <c r="Q22" s="34">
        <v>2.0</v>
      </c>
      <c r="R22" s="33">
        <v>2.0</v>
      </c>
      <c r="S22" s="33">
        <v>2.0</v>
      </c>
      <c r="T22" s="33">
        <v>2.0</v>
      </c>
      <c r="U22" s="33">
        <v>2.0</v>
      </c>
      <c r="V22" s="33">
        <v>2.0</v>
      </c>
      <c r="W22" s="36">
        <v>2.0</v>
      </c>
      <c r="X22" s="37">
        <v>2.0</v>
      </c>
      <c r="Y22" s="37">
        <v>2.0</v>
      </c>
      <c r="Z22" s="37">
        <v>2.0</v>
      </c>
      <c r="AA22" s="37">
        <v>2.0</v>
      </c>
      <c r="AB22" s="38">
        <v>2.0</v>
      </c>
      <c r="AC22" s="38">
        <v>2.0</v>
      </c>
      <c r="AD22" s="39">
        <v>2.0</v>
      </c>
      <c r="AE22" s="40">
        <v>2.0</v>
      </c>
      <c r="AF22" s="40">
        <v>2.0</v>
      </c>
      <c r="AG22" s="39">
        <v>2.0</v>
      </c>
      <c r="AH22" s="39">
        <v>2.0</v>
      </c>
      <c r="AI22" s="41"/>
      <c r="AJ22" s="41"/>
      <c r="AK22" s="11">
        <v>2.0</v>
      </c>
      <c r="AL22" s="11">
        <v>2.0</v>
      </c>
      <c r="AM22" s="42">
        <f t="shared" ref="AM22:AM23" si="9">ROUND(AVERAGE(O22:AL22),0)</f>
        <v>2</v>
      </c>
      <c r="AN22" s="11">
        <v>3.0</v>
      </c>
      <c r="AO22" s="11">
        <v>3.0</v>
      </c>
      <c r="AP22" s="11">
        <v>3.0</v>
      </c>
      <c r="AQ22" s="11">
        <v>3.0</v>
      </c>
      <c r="AR22" s="11">
        <v>3.0</v>
      </c>
      <c r="AS22" s="11">
        <v>3.0</v>
      </c>
      <c r="AT22" s="11">
        <v>3.0</v>
      </c>
      <c r="AU22" s="11">
        <v>3.0</v>
      </c>
      <c r="AV22" s="11">
        <v>3.0</v>
      </c>
      <c r="AW22" s="11">
        <f t="shared" si="4"/>
        <v>27</v>
      </c>
    </row>
    <row r="23" ht="15.75" customHeight="1">
      <c r="A23" s="27" t="s">
        <v>59</v>
      </c>
      <c r="B23" s="27" t="s">
        <v>113</v>
      </c>
      <c r="C23" s="11" t="s">
        <v>66</v>
      </c>
      <c r="D23" s="27" t="s">
        <v>60</v>
      </c>
      <c r="E23" s="27" t="s">
        <v>114</v>
      </c>
      <c r="F23" s="30">
        <v>2.0</v>
      </c>
      <c r="G23" s="30">
        <v>3.0</v>
      </c>
      <c r="H23" s="30">
        <v>2.0</v>
      </c>
      <c r="I23" s="30">
        <v>1.0</v>
      </c>
      <c r="J23" s="31">
        <f t="shared" si="1"/>
        <v>6</v>
      </c>
      <c r="K23" s="30">
        <v>1.0</v>
      </c>
      <c r="L23" s="30">
        <v>2.0</v>
      </c>
      <c r="M23" s="30">
        <f t="shared" si="2"/>
        <v>3</v>
      </c>
      <c r="N23" s="32">
        <f t="shared" si="3"/>
        <v>11</v>
      </c>
      <c r="O23" s="33">
        <v>3.0</v>
      </c>
      <c r="P23" s="34">
        <v>3.0</v>
      </c>
      <c r="Q23" s="34">
        <v>3.0</v>
      </c>
      <c r="R23" s="33">
        <v>3.0</v>
      </c>
      <c r="S23" s="33">
        <v>3.0</v>
      </c>
      <c r="T23" s="33">
        <v>2.0</v>
      </c>
      <c r="U23" s="33">
        <v>3.0</v>
      </c>
      <c r="V23" s="33">
        <v>3.0</v>
      </c>
      <c r="W23" s="36">
        <v>3.0</v>
      </c>
      <c r="X23" s="37">
        <v>2.0</v>
      </c>
      <c r="Y23" s="37">
        <v>2.0</v>
      </c>
      <c r="Z23" s="37">
        <v>2.0</v>
      </c>
      <c r="AA23" s="37">
        <v>3.0</v>
      </c>
      <c r="AB23" s="38">
        <v>2.0</v>
      </c>
      <c r="AC23" s="38">
        <v>2.0</v>
      </c>
      <c r="AD23" s="39">
        <v>2.0</v>
      </c>
      <c r="AE23" s="40">
        <v>3.0</v>
      </c>
      <c r="AF23" s="40">
        <v>3.0</v>
      </c>
      <c r="AG23" s="39">
        <v>3.0</v>
      </c>
      <c r="AH23" s="39">
        <v>3.0</v>
      </c>
      <c r="AI23" s="41"/>
      <c r="AJ23" s="41"/>
      <c r="AK23" s="11">
        <v>3.0</v>
      </c>
      <c r="AL23" s="11">
        <v>3.0</v>
      </c>
      <c r="AM23" s="42">
        <f t="shared" si="9"/>
        <v>3</v>
      </c>
      <c r="AN23" s="11">
        <v>4.0</v>
      </c>
      <c r="AO23" s="11">
        <v>4.0</v>
      </c>
      <c r="AP23" s="11">
        <v>4.0</v>
      </c>
      <c r="AQ23" s="11">
        <v>4.0</v>
      </c>
      <c r="AR23" s="11">
        <v>3.0</v>
      </c>
      <c r="AS23" s="11">
        <v>3.0</v>
      </c>
      <c r="AT23" s="11">
        <v>3.0</v>
      </c>
      <c r="AU23" s="11">
        <v>4.0</v>
      </c>
      <c r="AV23" s="11">
        <v>4.0</v>
      </c>
      <c r="AW23" s="11">
        <f t="shared" si="4"/>
        <v>33</v>
      </c>
    </row>
    <row r="24" ht="15.75" customHeight="1">
      <c r="A24" s="27" t="s">
        <v>59</v>
      </c>
      <c r="B24" s="27" t="s">
        <v>91</v>
      </c>
      <c r="C24" s="11" t="s">
        <v>66</v>
      </c>
      <c r="D24" s="27" t="s">
        <v>60</v>
      </c>
      <c r="E24" s="27" t="s">
        <v>115</v>
      </c>
      <c r="F24" s="30">
        <v>3.0</v>
      </c>
      <c r="G24" s="30">
        <v>3.0</v>
      </c>
      <c r="H24" s="30">
        <v>2.0</v>
      </c>
      <c r="I24" s="30">
        <v>1.0</v>
      </c>
      <c r="J24" s="31">
        <f t="shared" si="1"/>
        <v>6</v>
      </c>
      <c r="K24" s="30">
        <v>1.0</v>
      </c>
      <c r="L24" s="30">
        <v>2.0</v>
      </c>
      <c r="M24" s="30">
        <f t="shared" si="2"/>
        <v>3</v>
      </c>
      <c r="N24" s="32">
        <f t="shared" si="3"/>
        <v>12</v>
      </c>
      <c r="O24" s="33">
        <v>91.0</v>
      </c>
      <c r="P24" s="34">
        <v>91.0</v>
      </c>
      <c r="Q24" s="34">
        <v>91.0</v>
      </c>
      <c r="R24" s="33">
        <v>91.0</v>
      </c>
      <c r="S24" s="33">
        <v>91.0</v>
      </c>
      <c r="T24" s="33">
        <v>90.0</v>
      </c>
      <c r="U24" s="33">
        <v>90.0</v>
      </c>
      <c r="V24" s="33">
        <v>91.0</v>
      </c>
      <c r="W24" s="36">
        <v>90.0</v>
      </c>
      <c r="X24" s="37">
        <v>90.0</v>
      </c>
      <c r="Y24" s="37">
        <v>90.0</v>
      </c>
      <c r="Z24" s="37">
        <v>90.0</v>
      </c>
      <c r="AA24" s="37">
        <v>90.0</v>
      </c>
      <c r="AB24" s="38">
        <v>90.0</v>
      </c>
      <c r="AC24" s="38">
        <v>90.0</v>
      </c>
      <c r="AD24" s="39">
        <v>91.0</v>
      </c>
      <c r="AE24" s="40">
        <v>90.0</v>
      </c>
      <c r="AF24" s="40">
        <v>91.0</v>
      </c>
      <c r="AG24" s="39">
        <v>90.0</v>
      </c>
      <c r="AH24" s="39">
        <v>85.0</v>
      </c>
      <c r="AI24" s="41">
        <v>90.0</v>
      </c>
      <c r="AJ24" s="41">
        <v>90.0</v>
      </c>
      <c r="AK24" s="11">
        <v>91.0</v>
      </c>
      <c r="AL24" s="11">
        <v>90.0</v>
      </c>
      <c r="AM24" s="42">
        <f t="shared" ref="AM24:AM26" si="10">ROUND(AVERAGE(O24:AL24), 2)</f>
        <v>90.17</v>
      </c>
      <c r="AN24" s="11">
        <v>2.0</v>
      </c>
      <c r="AO24" s="11">
        <v>3.0</v>
      </c>
      <c r="AP24" s="11">
        <v>3.0</v>
      </c>
      <c r="AQ24" s="11">
        <v>2.0</v>
      </c>
      <c r="AR24" s="11">
        <v>3.0</v>
      </c>
      <c r="AS24" s="11">
        <v>3.0</v>
      </c>
      <c r="AT24" s="11">
        <v>3.0</v>
      </c>
      <c r="AU24" s="11">
        <v>3.0</v>
      </c>
      <c r="AV24" s="11">
        <v>3.0</v>
      </c>
      <c r="AW24" s="11">
        <f t="shared" si="4"/>
        <v>25</v>
      </c>
    </row>
    <row r="25" ht="15.75" customHeight="1">
      <c r="A25" s="27" t="s">
        <v>59</v>
      </c>
      <c r="B25" s="27" t="s">
        <v>72</v>
      </c>
      <c r="C25" s="11" t="s">
        <v>66</v>
      </c>
      <c r="D25" s="27" t="s">
        <v>60</v>
      </c>
      <c r="E25" s="27" t="s">
        <v>116</v>
      </c>
      <c r="F25" s="30">
        <v>5.0</v>
      </c>
      <c r="G25" s="30">
        <v>5.0</v>
      </c>
      <c r="H25" s="30">
        <v>3.0</v>
      </c>
      <c r="I25" s="30">
        <v>2.0</v>
      </c>
      <c r="J25" s="31">
        <f t="shared" si="1"/>
        <v>10</v>
      </c>
      <c r="K25" s="30">
        <v>2.0</v>
      </c>
      <c r="L25" s="30">
        <v>2.0</v>
      </c>
      <c r="M25" s="30">
        <f t="shared" si="2"/>
        <v>4</v>
      </c>
      <c r="N25" s="32">
        <f t="shared" si="3"/>
        <v>19</v>
      </c>
      <c r="O25" s="33">
        <v>98.0</v>
      </c>
      <c r="P25" s="34">
        <v>97.0</v>
      </c>
      <c r="Q25" s="34">
        <v>98.0</v>
      </c>
      <c r="R25" s="33">
        <v>97.0</v>
      </c>
      <c r="S25" s="33">
        <v>98.0</v>
      </c>
      <c r="T25" s="33">
        <v>99.0</v>
      </c>
      <c r="U25" s="33">
        <v>98.0</v>
      </c>
      <c r="V25" s="33">
        <v>97.0</v>
      </c>
      <c r="W25" s="36">
        <v>99.0</v>
      </c>
      <c r="X25" s="37">
        <v>100.0</v>
      </c>
      <c r="Y25" s="37">
        <v>98.0</v>
      </c>
      <c r="Z25" s="37">
        <v>98.0</v>
      </c>
      <c r="AA25" s="37">
        <v>98.0</v>
      </c>
      <c r="AB25" s="38">
        <v>97.0</v>
      </c>
      <c r="AC25" s="38">
        <v>98.0</v>
      </c>
      <c r="AD25" s="39">
        <v>99.0</v>
      </c>
      <c r="AE25" s="40">
        <v>100.0</v>
      </c>
      <c r="AF25" s="40">
        <v>97.0</v>
      </c>
      <c r="AG25" s="39">
        <v>98.0</v>
      </c>
      <c r="AH25" s="39">
        <v>97.0</v>
      </c>
      <c r="AI25" s="41">
        <v>98.0</v>
      </c>
      <c r="AJ25" s="41">
        <v>98.0</v>
      </c>
      <c r="AK25" s="11">
        <v>99.0</v>
      </c>
      <c r="AL25" s="11">
        <v>99.0</v>
      </c>
      <c r="AM25" s="42">
        <f t="shared" si="10"/>
        <v>98.13</v>
      </c>
      <c r="AN25" s="11">
        <v>4.0</v>
      </c>
      <c r="AO25" s="11">
        <v>4.0</v>
      </c>
      <c r="AP25" s="11">
        <v>4.0</v>
      </c>
      <c r="AQ25" s="11">
        <v>4.0</v>
      </c>
      <c r="AR25" s="11">
        <v>4.0</v>
      </c>
      <c r="AS25" s="11">
        <v>4.0</v>
      </c>
      <c r="AT25" s="11">
        <v>4.0</v>
      </c>
      <c r="AU25" s="11">
        <v>4.0</v>
      </c>
      <c r="AV25" s="11">
        <v>4.0</v>
      </c>
      <c r="AW25" s="11">
        <f t="shared" si="4"/>
        <v>36</v>
      </c>
    </row>
    <row r="26" ht="15.75" customHeight="1">
      <c r="A26" s="27" t="s">
        <v>59</v>
      </c>
      <c r="B26" s="27" t="s">
        <v>84</v>
      </c>
      <c r="C26" s="11" t="s">
        <v>66</v>
      </c>
      <c r="D26" s="27" t="s">
        <v>60</v>
      </c>
      <c r="E26" s="27" t="s">
        <v>117</v>
      </c>
      <c r="F26" s="30">
        <v>3.0</v>
      </c>
      <c r="G26" s="30">
        <v>3.0</v>
      </c>
      <c r="H26" s="30">
        <v>2.0</v>
      </c>
      <c r="I26" s="30">
        <v>1.0</v>
      </c>
      <c r="J26" s="31">
        <f t="shared" si="1"/>
        <v>6</v>
      </c>
      <c r="K26" s="30">
        <v>1.0</v>
      </c>
      <c r="L26" s="30">
        <v>2.0</v>
      </c>
      <c r="M26" s="30">
        <f t="shared" si="2"/>
        <v>3</v>
      </c>
      <c r="N26" s="32">
        <f t="shared" si="3"/>
        <v>12</v>
      </c>
      <c r="O26" s="33">
        <v>90.0</v>
      </c>
      <c r="P26" s="34">
        <v>92.0</v>
      </c>
      <c r="Q26" s="34">
        <v>90.0</v>
      </c>
      <c r="R26" s="33">
        <v>90.0</v>
      </c>
      <c r="S26" s="33">
        <v>92.0</v>
      </c>
      <c r="T26" s="33">
        <v>86.0</v>
      </c>
      <c r="U26" s="33">
        <v>90.0</v>
      </c>
      <c r="V26" s="33">
        <v>88.0</v>
      </c>
      <c r="W26" s="36">
        <v>95.0</v>
      </c>
      <c r="X26" s="37">
        <v>89.0</v>
      </c>
      <c r="Y26" s="37">
        <v>90.0</v>
      </c>
      <c r="Z26" s="37">
        <v>90.0</v>
      </c>
      <c r="AA26" s="37">
        <v>92.0</v>
      </c>
      <c r="AB26" s="38">
        <v>90.0</v>
      </c>
      <c r="AC26" s="38">
        <v>88.0</v>
      </c>
      <c r="AD26" s="39">
        <v>92.0</v>
      </c>
      <c r="AE26" s="40">
        <v>86.0</v>
      </c>
      <c r="AF26" s="40">
        <v>88.0</v>
      </c>
      <c r="AG26" s="39">
        <v>90.0</v>
      </c>
      <c r="AH26" s="39">
        <v>86.0</v>
      </c>
      <c r="AI26" s="41">
        <v>92.0</v>
      </c>
      <c r="AJ26" s="41">
        <v>90.0</v>
      </c>
      <c r="AK26" s="11">
        <v>90.0</v>
      </c>
      <c r="AL26" s="11">
        <v>86.0</v>
      </c>
      <c r="AM26" s="42">
        <f t="shared" si="10"/>
        <v>89.67</v>
      </c>
      <c r="AN26" s="11">
        <v>3.0</v>
      </c>
      <c r="AO26" s="11">
        <v>3.0</v>
      </c>
      <c r="AP26" s="11">
        <v>3.0</v>
      </c>
      <c r="AQ26" s="11">
        <v>4.0</v>
      </c>
      <c r="AR26" s="11">
        <v>3.0</v>
      </c>
      <c r="AS26" s="11">
        <v>4.0</v>
      </c>
      <c r="AT26" s="11">
        <v>3.0</v>
      </c>
      <c r="AU26" s="11">
        <v>3.0</v>
      </c>
      <c r="AV26" s="11">
        <v>3.0</v>
      </c>
      <c r="AW26" s="11">
        <f t="shared" si="4"/>
        <v>29</v>
      </c>
    </row>
    <row r="27" ht="15.75" customHeight="1">
      <c r="A27" s="27" t="s">
        <v>59</v>
      </c>
      <c r="B27" s="27" t="s">
        <v>130</v>
      </c>
      <c r="C27" s="11" t="s">
        <v>62</v>
      </c>
      <c r="D27" s="27" t="s">
        <v>60</v>
      </c>
      <c r="E27" s="27" t="s">
        <v>132</v>
      </c>
      <c r="F27" s="30">
        <v>4.0</v>
      </c>
      <c r="G27" s="30">
        <v>4.0</v>
      </c>
      <c r="H27" s="30">
        <v>2.0</v>
      </c>
      <c r="I27" s="30">
        <v>2.0</v>
      </c>
      <c r="J27" s="31">
        <f t="shared" si="1"/>
        <v>8</v>
      </c>
      <c r="K27" s="30">
        <v>1.0</v>
      </c>
      <c r="L27" s="30">
        <v>2.0</v>
      </c>
      <c r="M27" s="30">
        <f t="shared" si="2"/>
        <v>3</v>
      </c>
      <c r="N27" s="32">
        <f t="shared" si="3"/>
        <v>15</v>
      </c>
      <c r="O27" s="33">
        <v>91.0</v>
      </c>
      <c r="P27" s="34">
        <v>95.0</v>
      </c>
      <c r="Q27" s="34">
        <v>95.0</v>
      </c>
      <c r="R27" s="33">
        <v>91.0</v>
      </c>
      <c r="S27" s="33">
        <v>96.0</v>
      </c>
      <c r="T27" s="33">
        <v>91.0</v>
      </c>
      <c r="U27" s="33">
        <v>96.0</v>
      </c>
      <c r="V27" s="33">
        <v>96.0</v>
      </c>
      <c r="W27" s="36">
        <v>96.0</v>
      </c>
      <c r="X27" s="37">
        <v>96.0</v>
      </c>
      <c r="Y27" s="37">
        <v>96.0</v>
      </c>
      <c r="Z27" s="37">
        <v>91.0</v>
      </c>
      <c r="AA27" s="37">
        <v>91.0</v>
      </c>
      <c r="AB27" s="38">
        <v>95.0</v>
      </c>
      <c r="AC27" s="38">
        <v>90.0</v>
      </c>
      <c r="AD27" s="39">
        <v>96.0</v>
      </c>
      <c r="AE27" s="40">
        <v>91.0</v>
      </c>
      <c r="AF27" s="40">
        <v>91.0</v>
      </c>
      <c r="AG27" s="39">
        <v>96.0</v>
      </c>
      <c r="AH27" s="39">
        <v>91.0</v>
      </c>
      <c r="AI27" s="41">
        <v>96.0</v>
      </c>
      <c r="AJ27" s="41">
        <v>100.0</v>
      </c>
      <c r="AK27" s="11">
        <v>100.0</v>
      </c>
      <c r="AL27" s="11">
        <v>100.0</v>
      </c>
      <c r="AM27" s="42">
        <f t="shared" ref="AM27:AM57" si="11">ROUND(AVERAGE(O27:AL27),0)</f>
        <v>94</v>
      </c>
      <c r="AN27" s="11">
        <v>4.0</v>
      </c>
      <c r="AO27" s="11">
        <v>4.0</v>
      </c>
      <c r="AP27" s="11">
        <v>4.0</v>
      </c>
      <c r="AQ27" s="11">
        <v>4.0</v>
      </c>
      <c r="AR27" s="11">
        <v>4.0</v>
      </c>
      <c r="AS27" s="11">
        <v>4.0</v>
      </c>
      <c r="AT27" s="11">
        <v>4.0</v>
      </c>
      <c r="AU27" s="11">
        <v>4.0</v>
      </c>
      <c r="AV27" s="11">
        <v>3.0</v>
      </c>
      <c r="AW27" s="11">
        <f t="shared" si="4"/>
        <v>35</v>
      </c>
    </row>
    <row r="28" ht="15.75" customHeight="1">
      <c r="A28" s="27" t="s">
        <v>59</v>
      </c>
      <c r="B28" s="27" t="s">
        <v>138</v>
      </c>
      <c r="C28" s="11" t="s">
        <v>69</v>
      </c>
      <c r="D28" s="27" t="s">
        <v>64</v>
      </c>
      <c r="E28" s="27" t="s">
        <v>141</v>
      </c>
      <c r="F28" s="27">
        <v>5.0</v>
      </c>
      <c r="G28" s="27">
        <v>5.0</v>
      </c>
      <c r="H28" s="27">
        <v>3.0</v>
      </c>
      <c r="I28" s="27">
        <v>2.0</v>
      </c>
      <c r="J28" s="31">
        <f t="shared" si="1"/>
        <v>10</v>
      </c>
      <c r="K28" s="27">
        <v>2.0</v>
      </c>
      <c r="L28" s="27">
        <v>2.0</v>
      </c>
      <c r="M28" s="30">
        <f t="shared" si="2"/>
        <v>4</v>
      </c>
      <c r="N28" s="32">
        <f t="shared" si="3"/>
        <v>19</v>
      </c>
      <c r="O28" s="56">
        <v>3.0</v>
      </c>
      <c r="P28" s="57">
        <v>3.0</v>
      </c>
      <c r="Q28" s="57">
        <v>3.0</v>
      </c>
      <c r="R28" s="56">
        <v>3.0</v>
      </c>
      <c r="S28" s="56">
        <v>2.0</v>
      </c>
      <c r="T28" s="56">
        <v>2.0</v>
      </c>
      <c r="U28" s="56">
        <v>2.0</v>
      </c>
      <c r="V28" s="56">
        <v>2.0</v>
      </c>
      <c r="W28" s="37">
        <v>2.0</v>
      </c>
      <c r="X28" s="37">
        <v>3.0</v>
      </c>
      <c r="Y28" s="37">
        <v>2.0</v>
      </c>
      <c r="Z28" s="37">
        <v>3.0</v>
      </c>
      <c r="AA28" s="37">
        <v>3.0</v>
      </c>
      <c r="AB28" s="38">
        <v>3.0</v>
      </c>
      <c r="AC28" s="38">
        <v>3.0</v>
      </c>
      <c r="AD28" s="39">
        <v>2.0</v>
      </c>
      <c r="AE28" s="40">
        <v>1.0</v>
      </c>
      <c r="AF28" s="40">
        <v>1.0</v>
      </c>
      <c r="AG28" s="39">
        <v>2.0</v>
      </c>
      <c r="AH28" s="39">
        <v>2.0</v>
      </c>
      <c r="AI28" s="41"/>
      <c r="AJ28" s="41"/>
      <c r="AK28" s="11">
        <v>1.75</v>
      </c>
      <c r="AL28" s="11">
        <v>1.75</v>
      </c>
      <c r="AM28" s="42">
        <f t="shared" si="11"/>
        <v>2</v>
      </c>
      <c r="AN28" s="11">
        <v>3.0</v>
      </c>
      <c r="AO28" s="11">
        <v>3.0</v>
      </c>
      <c r="AP28" s="11">
        <v>3.0</v>
      </c>
      <c r="AQ28" s="11">
        <v>4.0</v>
      </c>
      <c r="AR28" s="11">
        <v>4.0</v>
      </c>
      <c r="AS28" s="11">
        <v>4.0</v>
      </c>
      <c r="AT28" s="11">
        <v>4.0</v>
      </c>
      <c r="AU28" s="11">
        <v>3.0</v>
      </c>
      <c r="AV28" s="11">
        <v>3.0</v>
      </c>
      <c r="AW28" s="11">
        <f t="shared" ref="AW28:AW84" si="12">SUM(AN28,AO28,AP28,AQ28,AR28,AS28,AT28,AU28,AV28)</f>
        <v>31</v>
      </c>
    </row>
    <row r="29" ht="15.75" customHeight="1">
      <c r="A29" s="27" t="s">
        <v>59</v>
      </c>
      <c r="B29" s="27" t="s">
        <v>138</v>
      </c>
      <c r="C29" s="11" t="s">
        <v>69</v>
      </c>
      <c r="D29" s="27" t="s">
        <v>64</v>
      </c>
      <c r="E29" s="27" t="s">
        <v>147</v>
      </c>
      <c r="F29" s="27">
        <v>2.0</v>
      </c>
      <c r="G29" s="27">
        <v>3.0</v>
      </c>
      <c r="H29" s="27">
        <v>2.0</v>
      </c>
      <c r="I29" s="27">
        <v>2.0</v>
      </c>
      <c r="J29" s="31">
        <f t="shared" si="1"/>
        <v>7</v>
      </c>
      <c r="K29" s="27">
        <v>2.0</v>
      </c>
      <c r="L29" s="27">
        <v>2.0</v>
      </c>
      <c r="M29" s="30">
        <f t="shared" si="2"/>
        <v>4</v>
      </c>
      <c r="N29" s="32">
        <f t="shared" si="3"/>
        <v>13</v>
      </c>
      <c r="O29" s="56">
        <v>3.0</v>
      </c>
      <c r="P29" s="57">
        <v>3.0</v>
      </c>
      <c r="Q29" s="57">
        <v>3.0</v>
      </c>
      <c r="R29" s="56">
        <v>3.0</v>
      </c>
      <c r="S29" s="56">
        <v>3.0</v>
      </c>
      <c r="T29" s="56">
        <v>3.0</v>
      </c>
      <c r="U29" s="56">
        <v>3.0</v>
      </c>
      <c r="V29" s="56">
        <v>3.0</v>
      </c>
      <c r="W29" s="37">
        <v>3.0</v>
      </c>
      <c r="X29" s="37">
        <v>3.0</v>
      </c>
      <c r="Y29" s="37">
        <v>3.0</v>
      </c>
      <c r="Z29" s="37">
        <v>3.0</v>
      </c>
      <c r="AA29" s="37">
        <v>3.0</v>
      </c>
      <c r="AB29" s="38">
        <v>3.0</v>
      </c>
      <c r="AC29" s="38">
        <v>3.0</v>
      </c>
      <c r="AD29" s="39">
        <v>3.0</v>
      </c>
      <c r="AE29" s="40">
        <v>3.0</v>
      </c>
      <c r="AF29" s="40">
        <v>3.0</v>
      </c>
      <c r="AG29" s="39">
        <v>3.0</v>
      </c>
      <c r="AH29" s="39">
        <v>3.0</v>
      </c>
      <c r="AI29" s="41"/>
      <c r="AJ29" s="41"/>
      <c r="AK29" s="11">
        <v>2.5</v>
      </c>
      <c r="AL29" s="11">
        <v>2.5</v>
      </c>
      <c r="AM29" s="42">
        <f t="shared" si="11"/>
        <v>3</v>
      </c>
      <c r="AN29" s="11">
        <v>4.0</v>
      </c>
      <c r="AO29" s="11">
        <v>4.0</v>
      </c>
      <c r="AP29" s="11">
        <v>4.0</v>
      </c>
      <c r="AQ29" s="11">
        <v>4.0</v>
      </c>
      <c r="AR29" s="11">
        <v>4.0</v>
      </c>
      <c r="AS29" s="11">
        <v>4.0</v>
      </c>
      <c r="AT29" s="11">
        <v>4.0</v>
      </c>
      <c r="AW29" s="11">
        <f t="shared" si="12"/>
        <v>28</v>
      </c>
    </row>
    <row r="30" ht="15.75" customHeight="1">
      <c r="A30" s="27" t="s">
        <v>59</v>
      </c>
      <c r="B30" s="27" t="s">
        <v>67</v>
      </c>
      <c r="C30" s="11" t="s">
        <v>66</v>
      </c>
      <c r="D30" s="27" t="s">
        <v>64</v>
      </c>
      <c r="E30" s="27" t="s">
        <v>150</v>
      </c>
      <c r="F30" s="27">
        <v>3.0</v>
      </c>
      <c r="G30" s="27">
        <v>4.0</v>
      </c>
      <c r="H30" s="27">
        <v>2.0</v>
      </c>
      <c r="I30" s="27">
        <v>2.0</v>
      </c>
      <c r="J30" s="31">
        <f t="shared" si="1"/>
        <v>8</v>
      </c>
      <c r="K30" s="27">
        <v>2.0</v>
      </c>
      <c r="L30" s="27">
        <v>3.0</v>
      </c>
      <c r="M30" s="30">
        <f t="shared" si="2"/>
        <v>5</v>
      </c>
      <c r="N30" s="32">
        <f t="shared" si="3"/>
        <v>16</v>
      </c>
      <c r="O30" s="56">
        <v>3.0</v>
      </c>
      <c r="P30" s="57">
        <v>2.0</v>
      </c>
      <c r="Q30" s="57">
        <v>2.0</v>
      </c>
      <c r="R30" s="56">
        <v>2.0</v>
      </c>
      <c r="S30" s="56">
        <v>3.0</v>
      </c>
      <c r="T30" s="56">
        <v>2.0</v>
      </c>
      <c r="U30" s="56">
        <v>2.0</v>
      </c>
      <c r="V30" s="56">
        <v>2.0</v>
      </c>
      <c r="W30" s="37">
        <v>2.0</v>
      </c>
      <c r="X30" s="37">
        <v>3.0</v>
      </c>
      <c r="Y30" s="37">
        <v>2.0</v>
      </c>
      <c r="Z30" s="37">
        <v>2.0</v>
      </c>
      <c r="AA30" s="37">
        <v>2.0</v>
      </c>
      <c r="AB30" s="38">
        <v>3.0</v>
      </c>
      <c r="AC30" s="38">
        <v>3.0</v>
      </c>
      <c r="AD30" s="39">
        <v>3.0</v>
      </c>
      <c r="AE30" s="40">
        <v>2.0</v>
      </c>
      <c r="AF30" s="40">
        <v>2.0</v>
      </c>
      <c r="AG30" s="39">
        <v>3.0</v>
      </c>
      <c r="AH30" s="39">
        <v>3.0</v>
      </c>
      <c r="AI30" s="41"/>
      <c r="AJ30" s="41"/>
      <c r="AK30" s="11">
        <v>2.0</v>
      </c>
      <c r="AL30" s="11">
        <v>2.0</v>
      </c>
      <c r="AM30" s="42">
        <f t="shared" si="11"/>
        <v>2</v>
      </c>
      <c r="AN30" s="11">
        <v>2.0</v>
      </c>
      <c r="AO30" s="11">
        <v>3.0</v>
      </c>
      <c r="AP30" s="11">
        <v>4.0</v>
      </c>
      <c r="AQ30" s="11">
        <v>4.0</v>
      </c>
      <c r="AR30" s="11">
        <v>4.0</v>
      </c>
      <c r="AS30" s="11">
        <v>4.0</v>
      </c>
      <c r="AT30" s="11">
        <v>3.0</v>
      </c>
      <c r="AU30" s="11">
        <v>4.0</v>
      </c>
      <c r="AV30" s="11">
        <v>4.0</v>
      </c>
      <c r="AW30" s="11">
        <f t="shared" si="12"/>
        <v>32</v>
      </c>
    </row>
    <row r="31" ht="15.75" customHeight="1">
      <c r="A31" s="27" t="s">
        <v>59</v>
      </c>
      <c r="B31" s="27" t="s">
        <v>154</v>
      </c>
      <c r="C31" s="11" t="s">
        <v>66</v>
      </c>
      <c r="D31" s="27" t="s">
        <v>64</v>
      </c>
      <c r="E31" s="27" t="s">
        <v>155</v>
      </c>
      <c r="F31" s="27">
        <v>3.0</v>
      </c>
      <c r="G31" s="27">
        <v>4.0</v>
      </c>
      <c r="H31" s="27">
        <v>2.0</v>
      </c>
      <c r="I31" s="27">
        <v>2.0</v>
      </c>
      <c r="J31" s="31">
        <f t="shared" si="1"/>
        <v>8</v>
      </c>
      <c r="K31" s="27">
        <v>2.0</v>
      </c>
      <c r="L31" s="27">
        <v>3.0</v>
      </c>
      <c r="M31" s="30">
        <f t="shared" si="2"/>
        <v>5</v>
      </c>
      <c r="N31" s="32">
        <f t="shared" si="3"/>
        <v>16</v>
      </c>
      <c r="O31" s="56">
        <v>3.0</v>
      </c>
      <c r="P31" s="57">
        <v>3.0</v>
      </c>
      <c r="Q31" s="57">
        <v>3.0</v>
      </c>
      <c r="R31" s="56">
        <v>3.0</v>
      </c>
      <c r="S31" s="56">
        <v>3.0</v>
      </c>
      <c r="T31" s="56">
        <v>3.0</v>
      </c>
      <c r="U31" s="56">
        <v>3.0</v>
      </c>
      <c r="V31" s="56">
        <v>3.0</v>
      </c>
      <c r="W31" s="37">
        <v>3.0</v>
      </c>
      <c r="X31" s="37">
        <v>3.0</v>
      </c>
      <c r="Y31" s="37">
        <v>3.0</v>
      </c>
      <c r="Z31" s="37">
        <v>3.0</v>
      </c>
      <c r="AA31" s="37">
        <v>3.0</v>
      </c>
      <c r="AB31" s="38">
        <v>3.0</v>
      </c>
      <c r="AC31" s="38">
        <v>3.0</v>
      </c>
      <c r="AD31" s="39">
        <v>3.0</v>
      </c>
      <c r="AE31" s="40">
        <v>2.0</v>
      </c>
      <c r="AF31" s="40">
        <v>2.0</v>
      </c>
      <c r="AG31" s="39">
        <v>3.0</v>
      </c>
      <c r="AH31" s="39">
        <v>3.0</v>
      </c>
      <c r="AI31" s="41"/>
      <c r="AJ31" s="41"/>
      <c r="AK31" s="11">
        <v>3.0</v>
      </c>
      <c r="AL31" s="11">
        <v>2.0</v>
      </c>
      <c r="AM31" s="42">
        <f t="shared" si="11"/>
        <v>3</v>
      </c>
      <c r="AN31" s="11">
        <v>4.0</v>
      </c>
      <c r="AO31" s="11">
        <v>4.0</v>
      </c>
      <c r="AP31" s="11">
        <v>4.0</v>
      </c>
      <c r="AQ31" s="11">
        <v>4.0</v>
      </c>
      <c r="AR31" s="11">
        <v>4.0</v>
      </c>
      <c r="AS31" s="11">
        <v>4.0</v>
      </c>
      <c r="AT31" s="11">
        <v>4.0</v>
      </c>
      <c r="AU31" s="11">
        <v>4.0</v>
      </c>
      <c r="AV31" s="11">
        <v>4.0</v>
      </c>
      <c r="AW31" s="11">
        <f t="shared" si="12"/>
        <v>36</v>
      </c>
    </row>
    <row r="32" ht="15.75" customHeight="1">
      <c r="A32" s="27" t="s">
        <v>59</v>
      </c>
      <c r="B32" s="27" t="s">
        <v>154</v>
      </c>
      <c r="C32" s="11" t="s">
        <v>66</v>
      </c>
      <c r="D32" s="27" t="s">
        <v>64</v>
      </c>
      <c r="E32" s="27" t="s">
        <v>159</v>
      </c>
      <c r="F32" s="27">
        <v>5.0</v>
      </c>
      <c r="G32" s="27">
        <v>3.0</v>
      </c>
      <c r="H32" s="27">
        <v>3.0</v>
      </c>
      <c r="I32" s="27">
        <v>2.0</v>
      </c>
      <c r="J32" s="31">
        <f t="shared" si="1"/>
        <v>8</v>
      </c>
      <c r="K32" s="27">
        <v>2.0</v>
      </c>
      <c r="L32" s="27">
        <v>3.0</v>
      </c>
      <c r="M32" s="30">
        <f t="shared" si="2"/>
        <v>5</v>
      </c>
      <c r="N32" s="32">
        <f t="shared" si="3"/>
        <v>18</v>
      </c>
      <c r="O32" s="56">
        <v>3.0</v>
      </c>
      <c r="P32" s="57">
        <v>2.0</v>
      </c>
      <c r="Q32" s="57">
        <v>2.0</v>
      </c>
      <c r="R32" s="56">
        <v>3.0</v>
      </c>
      <c r="S32" s="56">
        <v>3.0</v>
      </c>
      <c r="T32" s="56">
        <v>3.0</v>
      </c>
      <c r="U32" s="56">
        <v>3.0</v>
      </c>
      <c r="V32" s="56">
        <v>3.0</v>
      </c>
      <c r="W32" s="37">
        <v>3.0</v>
      </c>
      <c r="X32" s="37">
        <v>3.0</v>
      </c>
      <c r="Y32" s="37">
        <v>3.0</v>
      </c>
      <c r="Z32" s="37">
        <v>3.0</v>
      </c>
      <c r="AA32" s="37">
        <v>3.0</v>
      </c>
      <c r="AB32" s="38">
        <v>3.0</v>
      </c>
      <c r="AC32" s="38">
        <v>3.0</v>
      </c>
      <c r="AD32" s="39">
        <v>2.0</v>
      </c>
      <c r="AE32" s="40">
        <v>2.0</v>
      </c>
      <c r="AF32" s="40">
        <v>2.0</v>
      </c>
      <c r="AG32" s="39">
        <v>2.0</v>
      </c>
      <c r="AH32" s="39">
        <v>2.0</v>
      </c>
      <c r="AI32" s="41"/>
      <c r="AJ32" s="41"/>
      <c r="AK32" s="11">
        <v>3.0</v>
      </c>
      <c r="AL32" s="11">
        <v>2.0</v>
      </c>
      <c r="AM32" s="42">
        <f t="shared" si="11"/>
        <v>3</v>
      </c>
      <c r="AN32" s="11">
        <v>4.0</v>
      </c>
      <c r="AO32" s="11">
        <v>4.0</v>
      </c>
      <c r="AP32" s="11">
        <v>4.0</v>
      </c>
      <c r="AQ32" s="11">
        <v>3.0</v>
      </c>
      <c r="AR32" s="11">
        <v>3.0</v>
      </c>
      <c r="AS32" s="11">
        <v>4.0</v>
      </c>
      <c r="AT32" s="11">
        <v>4.0</v>
      </c>
      <c r="AU32" s="11">
        <v>3.0</v>
      </c>
      <c r="AV32" s="11">
        <v>4.0</v>
      </c>
      <c r="AW32" s="11">
        <f t="shared" si="12"/>
        <v>33</v>
      </c>
    </row>
    <row r="33" ht="15.75" customHeight="1">
      <c r="A33" s="27" t="s">
        <v>59</v>
      </c>
      <c r="B33" s="27" t="s">
        <v>138</v>
      </c>
      <c r="C33" s="11" t="s">
        <v>69</v>
      </c>
      <c r="D33" s="27" t="s">
        <v>64</v>
      </c>
      <c r="E33" s="27" t="s">
        <v>160</v>
      </c>
      <c r="F33" s="27">
        <v>5.0</v>
      </c>
      <c r="G33" s="27">
        <v>2.0</v>
      </c>
      <c r="H33" s="27">
        <v>2.0</v>
      </c>
      <c r="I33" s="27">
        <v>1.0</v>
      </c>
      <c r="J33" s="31">
        <f t="shared" si="1"/>
        <v>5</v>
      </c>
      <c r="K33" s="27">
        <v>2.0</v>
      </c>
      <c r="L33" s="27">
        <v>1.0</v>
      </c>
      <c r="M33" s="30">
        <f t="shared" si="2"/>
        <v>3</v>
      </c>
      <c r="N33" s="32">
        <f t="shared" si="3"/>
        <v>13</v>
      </c>
      <c r="O33" s="56">
        <v>2.0</v>
      </c>
      <c r="P33" s="57">
        <v>2.0</v>
      </c>
      <c r="Q33" s="57">
        <v>2.0</v>
      </c>
      <c r="R33" s="56">
        <v>3.0</v>
      </c>
      <c r="S33" s="56">
        <v>3.0</v>
      </c>
      <c r="T33" s="56">
        <v>3.0</v>
      </c>
      <c r="U33" s="56">
        <v>3.0</v>
      </c>
      <c r="V33" s="56">
        <v>3.0</v>
      </c>
      <c r="W33" s="37">
        <v>2.0</v>
      </c>
      <c r="X33" s="37">
        <v>2.0</v>
      </c>
      <c r="Y33" s="37">
        <v>2.0</v>
      </c>
      <c r="Z33" s="37">
        <v>2.0</v>
      </c>
      <c r="AA33" s="37">
        <v>2.0</v>
      </c>
      <c r="AB33" s="38">
        <v>2.0</v>
      </c>
      <c r="AC33" s="38">
        <v>2.0</v>
      </c>
      <c r="AD33" s="39">
        <v>3.0</v>
      </c>
      <c r="AE33" s="40">
        <v>3.0</v>
      </c>
      <c r="AF33" s="40">
        <v>3.0</v>
      </c>
      <c r="AG33" s="39">
        <v>3.0</v>
      </c>
      <c r="AH33" s="39">
        <v>3.0</v>
      </c>
      <c r="AI33" s="41"/>
      <c r="AJ33" s="41"/>
      <c r="AK33" s="11">
        <v>2.5</v>
      </c>
      <c r="AL33" s="11">
        <v>1.75</v>
      </c>
      <c r="AM33" s="42">
        <f t="shared" si="11"/>
        <v>2</v>
      </c>
      <c r="AN33" s="11">
        <v>3.0</v>
      </c>
      <c r="AO33" s="11">
        <v>3.0</v>
      </c>
      <c r="AP33" s="11">
        <v>3.0</v>
      </c>
      <c r="AQ33" s="11">
        <v>3.0</v>
      </c>
      <c r="AR33" s="11">
        <v>3.0</v>
      </c>
      <c r="AS33" s="11">
        <v>3.0</v>
      </c>
      <c r="AT33" s="11">
        <v>3.0</v>
      </c>
      <c r="AU33" s="11">
        <v>3.0</v>
      </c>
      <c r="AV33" s="11">
        <v>3.0</v>
      </c>
      <c r="AW33" s="11">
        <f t="shared" si="12"/>
        <v>27</v>
      </c>
    </row>
    <row r="34" ht="15.75" customHeight="1">
      <c r="A34" s="27" t="s">
        <v>59</v>
      </c>
      <c r="B34" s="27" t="s">
        <v>85</v>
      </c>
      <c r="C34" s="11" t="s">
        <v>66</v>
      </c>
      <c r="D34" s="27" t="s">
        <v>64</v>
      </c>
      <c r="E34" s="27" t="s">
        <v>161</v>
      </c>
      <c r="F34" s="27">
        <v>5.0</v>
      </c>
      <c r="G34" s="27">
        <v>3.0</v>
      </c>
      <c r="H34" s="27">
        <v>3.0</v>
      </c>
      <c r="I34" s="27">
        <v>2.0</v>
      </c>
      <c r="J34" s="31">
        <f t="shared" si="1"/>
        <v>8</v>
      </c>
      <c r="K34" s="27">
        <v>2.0</v>
      </c>
      <c r="L34" s="27">
        <v>2.0</v>
      </c>
      <c r="M34" s="30">
        <f t="shared" si="2"/>
        <v>4</v>
      </c>
      <c r="N34" s="32">
        <f t="shared" si="3"/>
        <v>17</v>
      </c>
      <c r="O34" s="56">
        <v>3.0</v>
      </c>
      <c r="P34" s="57">
        <v>3.0</v>
      </c>
      <c r="Q34" s="57">
        <v>3.0</v>
      </c>
      <c r="R34" s="56">
        <v>3.0</v>
      </c>
      <c r="S34" s="56">
        <v>3.0</v>
      </c>
      <c r="T34" s="56">
        <v>3.0</v>
      </c>
      <c r="U34" s="56">
        <v>3.0</v>
      </c>
      <c r="V34" s="56">
        <v>2.0</v>
      </c>
      <c r="W34" s="37">
        <v>3.0</v>
      </c>
      <c r="X34" s="37">
        <v>3.0</v>
      </c>
      <c r="Y34" s="37">
        <v>3.0</v>
      </c>
      <c r="Z34" s="37">
        <v>3.0</v>
      </c>
      <c r="AA34" s="37">
        <v>3.0</v>
      </c>
      <c r="AB34" s="38">
        <v>3.0</v>
      </c>
      <c r="AC34" s="38">
        <v>3.0</v>
      </c>
      <c r="AD34" s="39">
        <v>2.0</v>
      </c>
      <c r="AE34" s="40">
        <v>3.0</v>
      </c>
      <c r="AF34" s="40">
        <v>3.0</v>
      </c>
      <c r="AG34" s="39">
        <v>2.0</v>
      </c>
      <c r="AH34" s="39">
        <v>2.0</v>
      </c>
      <c r="AI34" s="41"/>
      <c r="AJ34" s="41"/>
      <c r="AK34" s="11">
        <v>2.5</v>
      </c>
      <c r="AL34" s="11">
        <v>2.5</v>
      </c>
      <c r="AM34" s="42">
        <f t="shared" si="11"/>
        <v>3</v>
      </c>
      <c r="AN34" s="11">
        <v>4.0</v>
      </c>
      <c r="AO34" s="11">
        <v>4.0</v>
      </c>
      <c r="AP34" s="11">
        <v>4.0</v>
      </c>
      <c r="AQ34" s="11">
        <v>4.0</v>
      </c>
      <c r="AR34" s="11">
        <v>4.0</v>
      </c>
      <c r="AS34" s="11">
        <v>4.0</v>
      </c>
      <c r="AT34" s="11">
        <v>3.0</v>
      </c>
      <c r="AU34" s="11">
        <v>4.0</v>
      </c>
      <c r="AV34" s="11">
        <v>4.0</v>
      </c>
      <c r="AW34" s="11">
        <f t="shared" si="12"/>
        <v>35</v>
      </c>
    </row>
    <row r="35" ht="15.75" customHeight="1">
      <c r="A35" s="27" t="s">
        <v>162</v>
      </c>
      <c r="B35" s="27" t="s">
        <v>67</v>
      </c>
      <c r="C35" s="11" t="s">
        <v>66</v>
      </c>
      <c r="D35" s="27" t="s">
        <v>64</v>
      </c>
      <c r="E35" s="27" t="s">
        <v>163</v>
      </c>
      <c r="F35" s="27">
        <v>3.0</v>
      </c>
      <c r="G35" s="27">
        <v>4.0</v>
      </c>
      <c r="H35" s="27">
        <v>2.0</v>
      </c>
      <c r="I35" s="27">
        <v>2.0</v>
      </c>
      <c r="J35" s="31">
        <f t="shared" si="1"/>
        <v>8</v>
      </c>
      <c r="K35" s="27">
        <v>2.0</v>
      </c>
      <c r="L35" s="27">
        <v>2.0</v>
      </c>
      <c r="M35" s="30">
        <f t="shared" si="2"/>
        <v>4</v>
      </c>
      <c r="N35" s="32">
        <f t="shared" si="3"/>
        <v>15</v>
      </c>
      <c r="O35" s="56">
        <v>3.0</v>
      </c>
      <c r="P35" s="57">
        <v>3.0</v>
      </c>
      <c r="Q35" s="57">
        <v>3.0</v>
      </c>
      <c r="R35" s="56">
        <v>3.0</v>
      </c>
      <c r="S35" s="56">
        <v>3.0</v>
      </c>
      <c r="T35" s="56">
        <v>3.0</v>
      </c>
      <c r="U35" s="56">
        <v>3.0</v>
      </c>
      <c r="V35" s="56">
        <v>3.0</v>
      </c>
      <c r="W35" s="37">
        <v>3.0</v>
      </c>
      <c r="X35" s="37">
        <v>3.0</v>
      </c>
      <c r="Y35" s="37">
        <v>3.0</v>
      </c>
      <c r="Z35" s="37">
        <v>3.0</v>
      </c>
      <c r="AA35" s="37">
        <v>3.0</v>
      </c>
      <c r="AB35" s="38">
        <v>3.0</v>
      </c>
      <c r="AC35" s="38">
        <v>3.0</v>
      </c>
      <c r="AD35" s="39">
        <v>3.0</v>
      </c>
      <c r="AE35" s="40">
        <v>3.0</v>
      </c>
      <c r="AF35" s="40">
        <v>3.0</v>
      </c>
      <c r="AG35" s="39">
        <v>3.0</v>
      </c>
      <c r="AH35" s="39">
        <v>3.0</v>
      </c>
      <c r="AI35" s="41"/>
      <c r="AJ35" s="41"/>
      <c r="AK35" s="11">
        <v>2.5</v>
      </c>
      <c r="AL35" s="11">
        <v>2.5</v>
      </c>
      <c r="AM35" s="42">
        <f t="shared" si="11"/>
        <v>3</v>
      </c>
      <c r="AN35" s="11">
        <v>4.0</v>
      </c>
      <c r="AO35" s="11">
        <v>4.0</v>
      </c>
      <c r="AP35" s="11">
        <v>4.0</v>
      </c>
      <c r="AQ35" s="11">
        <v>4.0</v>
      </c>
      <c r="AR35" s="11">
        <v>4.0</v>
      </c>
      <c r="AS35" s="11">
        <v>4.0</v>
      </c>
      <c r="AT35" s="11">
        <v>4.0</v>
      </c>
      <c r="AU35" s="11">
        <v>4.0</v>
      </c>
      <c r="AV35" s="11">
        <v>4.0</v>
      </c>
      <c r="AW35" s="11">
        <f t="shared" si="12"/>
        <v>36</v>
      </c>
    </row>
    <row r="36" ht="15.75" customHeight="1">
      <c r="A36" s="27" t="s">
        <v>162</v>
      </c>
      <c r="B36" s="27" t="s">
        <v>154</v>
      </c>
      <c r="C36" s="11" t="s">
        <v>66</v>
      </c>
      <c r="D36" s="27" t="s">
        <v>64</v>
      </c>
      <c r="E36" s="27" t="s">
        <v>164</v>
      </c>
      <c r="F36" s="27">
        <v>5.0</v>
      </c>
      <c r="G36" s="27">
        <v>4.0</v>
      </c>
      <c r="H36" s="27">
        <v>3.0</v>
      </c>
      <c r="I36" s="27">
        <v>2.0</v>
      </c>
      <c r="J36" s="31">
        <f t="shared" si="1"/>
        <v>9</v>
      </c>
      <c r="K36" s="27">
        <v>2.0</v>
      </c>
      <c r="L36" s="27">
        <v>3.0</v>
      </c>
      <c r="M36" s="30">
        <f t="shared" si="2"/>
        <v>5</v>
      </c>
      <c r="N36" s="32">
        <f t="shared" si="3"/>
        <v>19</v>
      </c>
      <c r="O36" s="56">
        <v>3.0</v>
      </c>
      <c r="P36" s="57">
        <v>3.0</v>
      </c>
      <c r="Q36" s="57">
        <v>3.0</v>
      </c>
      <c r="R36" s="56">
        <v>3.0</v>
      </c>
      <c r="S36" s="56">
        <v>3.0</v>
      </c>
      <c r="T36" s="56">
        <v>3.0</v>
      </c>
      <c r="U36" s="56">
        <v>3.0</v>
      </c>
      <c r="V36" s="56">
        <v>3.0</v>
      </c>
      <c r="W36" s="37">
        <v>3.0</v>
      </c>
      <c r="X36" s="37">
        <v>3.0</v>
      </c>
      <c r="Y36" s="37">
        <v>3.0</v>
      </c>
      <c r="Z36" s="37">
        <v>3.0</v>
      </c>
      <c r="AA36" s="37">
        <v>3.0</v>
      </c>
      <c r="AB36" s="38">
        <v>3.0</v>
      </c>
      <c r="AC36" s="38">
        <v>3.0</v>
      </c>
      <c r="AD36" s="39">
        <v>3.0</v>
      </c>
      <c r="AE36" s="40">
        <v>2.0</v>
      </c>
      <c r="AF36" s="40">
        <v>2.0</v>
      </c>
      <c r="AG36" s="39">
        <v>3.0</v>
      </c>
      <c r="AH36" s="39">
        <v>3.0</v>
      </c>
      <c r="AI36" s="41"/>
      <c r="AJ36" s="41"/>
      <c r="AK36" s="11">
        <v>3.0</v>
      </c>
      <c r="AL36" s="11">
        <v>2.0</v>
      </c>
      <c r="AM36" s="42">
        <f t="shared" si="11"/>
        <v>3</v>
      </c>
      <c r="AN36" s="11">
        <v>4.0</v>
      </c>
      <c r="AO36" s="11">
        <v>4.0</v>
      </c>
      <c r="AP36" s="11">
        <v>4.0</v>
      </c>
      <c r="AQ36" s="11">
        <v>4.0</v>
      </c>
      <c r="AR36" s="11">
        <v>4.0</v>
      </c>
      <c r="AS36" s="11">
        <v>4.0</v>
      </c>
      <c r="AT36" s="11">
        <v>4.0</v>
      </c>
      <c r="AU36" s="11">
        <v>4.0</v>
      </c>
      <c r="AV36" s="11">
        <v>4.0</v>
      </c>
      <c r="AW36" s="11">
        <f t="shared" si="12"/>
        <v>36</v>
      </c>
    </row>
    <row r="37" ht="15.75" customHeight="1">
      <c r="A37" s="27" t="s">
        <v>162</v>
      </c>
      <c r="B37" s="27" t="s">
        <v>166</v>
      </c>
      <c r="C37" s="11" t="s">
        <v>66</v>
      </c>
      <c r="D37" s="27" t="s">
        <v>64</v>
      </c>
      <c r="E37" s="61" t="s">
        <v>167</v>
      </c>
      <c r="F37" s="27">
        <v>5.0</v>
      </c>
      <c r="G37" s="27">
        <v>4.0</v>
      </c>
      <c r="H37" s="27">
        <v>3.0</v>
      </c>
      <c r="I37" s="27">
        <v>2.0</v>
      </c>
      <c r="J37" s="31">
        <f t="shared" si="1"/>
        <v>9</v>
      </c>
      <c r="K37" s="27">
        <v>2.0</v>
      </c>
      <c r="L37" s="27">
        <v>3.0</v>
      </c>
      <c r="M37" s="30">
        <f t="shared" si="2"/>
        <v>5</v>
      </c>
      <c r="N37" s="32">
        <f t="shared" si="3"/>
        <v>19</v>
      </c>
      <c r="O37" s="56">
        <v>3.0</v>
      </c>
      <c r="P37" s="57">
        <v>3.0</v>
      </c>
      <c r="Q37" s="57">
        <v>3.0</v>
      </c>
      <c r="R37" s="56">
        <v>3.0</v>
      </c>
      <c r="S37" s="56">
        <v>2.0</v>
      </c>
      <c r="T37" s="56">
        <v>3.0</v>
      </c>
      <c r="U37" s="56">
        <v>2.0</v>
      </c>
      <c r="V37" s="56">
        <v>3.0</v>
      </c>
      <c r="W37" s="37">
        <v>3.0</v>
      </c>
      <c r="X37" s="37">
        <v>2.0</v>
      </c>
      <c r="Y37" s="37">
        <v>2.0</v>
      </c>
      <c r="Z37" s="37">
        <v>3.0</v>
      </c>
      <c r="AA37" s="37">
        <v>2.0</v>
      </c>
      <c r="AB37" s="38">
        <v>3.0</v>
      </c>
      <c r="AC37" s="38">
        <v>2.0</v>
      </c>
      <c r="AD37" s="39">
        <v>3.0</v>
      </c>
      <c r="AE37" s="40">
        <v>2.0</v>
      </c>
      <c r="AF37" s="40">
        <v>2.0</v>
      </c>
      <c r="AG37" s="39">
        <v>3.0</v>
      </c>
      <c r="AH37" s="39">
        <v>3.0</v>
      </c>
      <c r="AI37" s="41"/>
      <c r="AJ37" s="41"/>
      <c r="AK37" s="11">
        <v>2.0</v>
      </c>
      <c r="AL37" s="11">
        <v>2.0</v>
      </c>
      <c r="AM37" s="42">
        <f t="shared" si="11"/>
        <v>3</v>
      </c>
      <c r="AN37" s="11">
        <v>4.0</v>
      </c>
      <c r="AO37" s="11">
        <v>4.0</v>
      </c>
      <c r="AP37" s="11">
        <v>4.0</v>
      </c>
      <c r="AQ37" s="11">
        <v>4.0</v>
      </c>
      <c r="AR37" s="11">
        <v>4.0</v>
      </c>
      <c r="AS37" s="11">
        <v>4.0</v>
      </c>
      <c r="AT37" s="11">
        <v>3.0</v>
      </c>
      <c r="AU37" s="11">
        <v>3.0</v>
      </c>
      <c r="AV37" s="11">
        <v>4.0</v>
      </c>
      <c r="AW37" s="11">
        <f t="shared" si="12"/>
        <v>34</v>
      </c>
    </row>
    <row r="38" ht="15.75" customHeight="1">
      <c r="A38" s="27" t="s">
        <v>162</v>
      </c>
      <c r="B38" s="27" t="s">
        <v>82</v>
      </c>
      <c r="C38" s="11" t="s">
        <v>66</v>
      </c>
      <c r="D38" s="27" t="s">
        <v>64</v>
      </c>
      <c r="E38" s="27" t="s">
        <v>168</v>
      </c>
      <c r="F38" s="27">
        <v>5.0</v>
      </c>
      <c r="G38" s="27">
        <v>4.0</v>
      </c>
      <c r="H38" s="27">
        <v>2.0</v>
      </c>
      <c r="I38" s="27">
        <v>2.0</v>
      </c>
      <c r="J38" s="31">
        <f t="shared" si="1"/>
        <v>8</v>
      </c>
      <c r="K38" s="27">
        <v>2.0</v>
      </c>
      <c r="L38" s="27">
        <v>2.0</v>
      </c>
      <c r="M38" s="30">
        <f t="shared" si="2"/>
        <v>4</v>
      </c>
      <c r="N38" s="32">
        <f t="shared" si="3"/>
        <v>17</v>
      </c>
      <c r="O38" s="56">
        <v>2.0</v>
      </c>
      <c r="P38" s="57">
        <v>3.0</v>
      </c>
      <c r="Q38" s="57">
        <v>3.0</v>
      </c>
      <c r="R38" s="56">
        <v>2.0</v>
      </c>
      <c r="S38" s="56">
        <v>3.0</v>
      </c>
      <c r="T38" s="56">
        <v>2.0</v>
      </c>
      <c r="U38" s="56">
        <v>3.0</v>
      </c>
      <c r="V38" s="56">
        <v>3.0</v>
      </c>
      <c r="W38" s="37">
        <v>3.0</v>
      </c>
      <c r="X38" s="37">
        <v>3.0</v>
      </c>
      <c r="Y38" s="37">
        <v>3.0</v>
      </c>
      <c r="Z38" s="37">
        <v>3.0</v>
      </c>
      <c r="AA38" s="37">
        <v>3.0</v>
      </c>
      <c r="AB38" s="38">
        <v>3.0</v>
      </c>
      <c r="AC38" s="38">
        <v>3.0</v>
      </c>
      <c r="AD38" s="39">
        <v>2.0</v>
      </c>
      <c r="AE38" s="40">
        <v>3.0</v>
      </c>
      <c r="AF38" s="40">
        <v>3.0</v>
      </c>
      <c r="AG38" s="39">
        <v>2.0</v>
      </c>
      <c r="AH38" s="39">
        <v>2.0</v>
      </c>
      <c r="AI38" s="41"/>
      <c r="AJ38" s="41"/>
      <c r="AK38" s="11">
        <v>2.5</v>
      </c>
      <c r="AL38" s="11">
        <v>2.5</v>
      </c>
      <c r="AM38" s="42">
        <f t="shared" si="11"/>
        <v>3</v>
      </c>
      <c r="AN38" s="11">
        <v>3.0</v>
      </c>
      <c r="AO38" s="11">
        <v>3.0</v>
      </c>
      <c r="AP38" s="11">
        <v>4.0</v>
      </c>
      <c r="AQ38" s="11">
        <v>4.0</v>
      </c>
      <c r="AR38" s="11">
        <v>3.0</v>
      </c>
      <c r="AS38" s="11">
        <v>4.0</v>
      </c>
      <c r="AT38" s="11">
        <v>4.0</v>
      </c>
      <c r="AU38" s="11">
        <v>4.0</v>
      </c>
      <c r="AV38" s="11">
        <v>4.0</v>
      </c>
      <c r="AW38" s="11">
        <f t="shared" si="12"/>
        <v>33</v>
      </c>
    </row>
    <row r="39" ht="15.75" customHeight="1">
      <c r="A39" s="27" t="s">
        <v>162</v>
      </c>
      <c r="B39" s="27" t="s">
        <v>169</v>
      </c>
      <c r="C39" s="11" t="s">
        <v>66</v>
      </c>
      <c r="D39" s="27" t="s">
        <v>64</v>
      </c>
      <c r="E39" s="27" t="s">
        <v>170</v>
      </c>
      <c r="F39" s="27">
        <v>2.5</v>
      </c>
      <c r="G39" s="27">
        <v>3.0</v>
      </c>
      <c r="H39" s="27">
        <v>2.0</v>
      </c>
      <c r="I39" s="27">
        <v>2.0</v>
      </c>
      <c r="J39" s="31">
        <f t="shared" si="1"/>
        <v>7</v>
      </c>
      <c r="K39" s="27">
        <v>2.0</v>
      </c>
      <c r="L39" s="27">
        <v>2.0</v>
      </c>
      <c r="M39" s="30">
        <f t="shared" si="2"/>
        <v>4</v>
      </c>
      <c r="N39" s="32">
        <f t="shared" si="3"/>
        <v>13.5</v>
      </c>
      <c r="O39" s="56">
        <v>3.0</v>
      </c>
      <c r="P39" s="57">
        <v>3.0</v>
      </c>
      <c r="Q39" s="57">
        <v>3.0</v>
      </c>
      <c r="R39" s="56">
        <v>3.0</v>
      </c>
      <c r="S39" s="56">
        <v>3.0</v>
      </c>
      <c r="T39" s="56">
        <v>3.0</v>
      </c>
      <c r="U39" s="56">
        <v>3.0</v>
      </c>
      <c r="V39" s="56">
        <v>2.0</v>
      </c>
      <c r="W39" s="37">
        <v>3.0</v>
      </c>
      <c r="X39" s="37">
        <v>3.0</v>
      </c>
      <c r="Y39" s="37">
        <v>3.0</v>
      </c>
      <c r="Z39" s="37">
        <v>3.0</v>
      </c>
      <c r="AA39" s="37">
        <v>3.0</v>
      </c>
      <c r="AB39" s="38">
        <v>3.0</v>
      </c>
      <c r="AC39" s="38">
        <v>3.0</v>
      </c>
      <c r="AD39" s="39">
        <v>3.0</v>
      </c>
      <c r="AE39" s="40">
        <v>3.0</v>
      </c>
      <c r="AF39" s="40">
        <v>3.0</v>
      </c>
      <c r="AG39" s="39">
        <v>3.0</v>
      </c>
      <c r="AH39" s="39">
        <v>3.0</v>
      </c>
      <c r="AI39" s="41"/>
      <c r="AJ39" s="41"/>
      <c r="AK39" s="11">
        <v>2.5</v>
      </c>
      <c r="AL39" s="11">
        <v>2.5</v>
      </c>
      <c r="AM39" s="42">
        <f t="shared" si="11"/>
        <v>3</v>
      </c>
      <c r="AN39" s="11">
        <v>4.0</v>
      </c>
      <c r="AO39" s="11">
        <v>4.0</v>
      </c>
      <c r="AP39" s="11">
        <v>3.0</v>
      </c>
      <c r="AQ39" s="11">
        <v>4.0</v>
      </c>
      <c r="AR39" s="11">
        <v>4.0</v>
      </c>
      <c r="AS39" s="11">
        <v>4.0</v>
      </c>
      <c r="AT39" s="11">
        <v>4.0</v>
      </c>
      <c r="AU39" s="11">
        <v>4.0</v>
      </c>
      <c r="AV39" s="11">
        <v>4.0</v>
      </c>
      <c r="AW39" s="11">
        <f t="shared" si="12"/>
        <v>35</v>
      </c>
    </row>
    <row r="40" ht="15.75" customHeight="1">
      <c r="A40" s="27" t="s">
        <v>162</v>
      </c>
      <c r="B40" s="27" t="s">
        <v>113</v>
      </c>
      <c r="C40" s="11" t="s">
        <v>66</v>
      </c>
      <c r="D40" s="27" t="s">
        <v>64</v>
      </c>
      <c r="E40" s="27" t="s">
        <v>171</v>
      </c>
      <c r="F40" s="27">
        <v>5.0</v>
      </c>
      <c r="G40" s="27">
        <v>4.0</v>
      </c>
      <c r="H40" s="27">
        <v>3.0</v>
      </c>
      <c r="I40" s="27">
        <v>2.0</v>
      </c>
      <c r="J40" s="31">
        <f t="shared" si="1"/>
        <v>9</v>
      </c>
      <c r="K40" s="27">
        <v>2.0</v>
      </c>
      <c r="L40" s="27">
        <v>2.0</v>
      </c>
      <c r="M40" s="30">
        <f t="shared" si="2"/>
        <v>4</v>
      </c>
      <c r="N40" s="32">
        <f t="shared" si="3"/>
        <v>18</v>
      </c>
      <c r="O40" s="56">
        <v>3.0</v>
      </c>
      <c r="P40" s="57">
        <v>3.0</v>
      </c>
      <c r="Q40" s="57">
        <v>3.0</v>
      </c>
      <c r="R40" s="56">
        <v>3.0</v>
      </c>
      <c r="S40" s="56">
        <v>3.0</v>
      </c>
      <c r="T40" s="56">
        <v>3.0</v>
      </c>
      <c r="U40" s="56">
        <v>2.0</v>
      </c>
      <c r="V40" s="56">
        <v>2.0</v>
      </c>
      <c r="W40" s="37">
        <v>2.0</v>
      </c>
      <c r="X40" s="37">
        <v>3.0</v>
      </c>
      <c r="Y40" s="37">
        <v>3.0</v>
      </c>
      <c r="Z40" s="37">
        <v>3.0</v>
      </c>
      <c r="AA40" s="37">
        <v>3.0</v>
      </c>
      <c r="AB40" s="38">
        <v>3.0</v>
      </c>
      <c r="AC40" s="38">
        <v>2.0</v>
      </c>
      <c r="AD40" s="39">
        <v>3.0</v>
      </c>
      <c r="AE40" s="40">
        <v>2.0</v>
      </c>
      <c r="AF40" s="40">
        <v>2.0</v>
      </c>
      <c r="AG40" s="39">
        <v>3.0</v>
      </c>
      <c r="AH40" s="39">
        <v>3.0</v>
      </c>
      <c r="AI40" s="41"/>
      <c r="AJ40" s="41"/>
      <c r="AK40" s="11">
        <v>3.0</v>
      </c>
      <c r="AL40" s="11">
        <v>3.0</v>
      </c>
      <c r="AM40" s="42">
        <f t="shared" si="11"/>
        <v>3</v>
      </c>
      <c r="AN40" s="11">
        <v>3.0</v>
      </c>
      <c r="AO40" s="11">
        <v>3.0</v>
      </c>
      <c r="AP40" s="11">
        <v>3.0</v>
      </c>
      <c r="AQ40" s="11">
        <v>3.0</v>
      </c>
      <c r="AR40" s="11">
        <v>3.0</v>
      </c>
      <c r="AS40" s="11">
        <v>4.0</v>
      </c>
      <c r="AT40" s="11">
        <v>4.0</v>
      </c>
      <c r="AU40" s="11">
        <v>4.0</v>
      </c>
      <c r="AV40" s="11">
        <v>4.0</v>
      </c>
      <c r="AW40" s="11">
        <f t="shared" si="12"/>
        <v>31</v>
      </c>
    </row>
    <row r="41" ht="15.75" customHeight="1">
      <c r="A41" s="27" t="s">
        <v>162</v>
      </c>
      <c r="B41" s="27" t="s">
        <v>113</v>
      </c>
      <c r="C41" s="11" t="s">
        <v>66</v>
      </c>
      <c r="D41" s="27" t="s">
        <v>64</v>
      </c>
      <c r="E41" s="27" t="s">
        <v>172</v>
      </c>
      <c r="F41" s="27">
        <v>5.0</v>
      </c>
      <c r="G41" s="27">
        <v>3.0</v>
      </c>
      <c r="H41" s="27">
        <v>3.0</v>
      </c>
      <c r="I41" s="27">
        <v>2.0</v>
      </c>
      <c r="J41" s="31">
        <f t="shared" si="1"/>
        <v>8</v>
      </c>
      <c r="K41" s="27">
        <v>2.0</v>
      </c>
      <c r="L41" s="27">
        <v>2.0</v>
      </c>
      <c r="M41" s="30">
        <f t="shared" si="2"/>
        <v>4</v>
      </c>
      <c r="N41" s="32">
        <f t="shared" si="3"/>
        <v>17</v>
      </c>
      <c r="O41" s="56">
        <v>3.0</v>
      </c>
      <c r="P41" s="57">
        <v>3.0</v>
      </c>
      <c r="Q41" s="57">
        <v>3.0</v>
      </c>
      <c r="R41" s="56">
        <v>3.0</v>
      </c>
      <c r="S41" s="56">
        <v>3.0</v>
      </c>
      <c r="T41" s="56">
        <v>2.0</v>
      </c>
      <c r="U41" s="56">
        <v>3.0</v>
      </c>
      <c r="V41" s="56">
        <v>3.0</v>
      </c>
      <c r="W41" s="37">
        <v>3.0</v>
      </c>
      <c r="X41" s="37">
        <v>2.0</v>
      </c>
      <c r="Y41" s="37">
        <v>2.0</v>
      </c>
      <c r="Z41" s="37">
        <v>2.0</v>
      </c>
      <c r="AA41" s="37">
        <v>3.0</v>
      </c>
      <c r="AB41" s="38">
        <v>2.0</v>
      </c>
      <c r="AC41" s="38">
        <v>2.0</v>
      </c>
      <c r="AD41" s="39">
        <v>3.0</v>
      </c>
      <c r="AE41" s="40">
        <v>3.0</v>
      </c>
      <c r="AF41" s="40">
        <v>3.0</v>
      </c>
      <c r="AG41" s="39">
        <v>3.0</v>
      </c>
      <c r="AH41" s="39">
        <v>3.0</v>
      </c>
      <c r="AI41" s="41"/>
      <c r="AJ41" s="41"/>
      <c r="AK41" s="11">
        <v>3.0</v>
      </c>
      <c r="AL41" s="11">
        <v>3.0</v>
      </c>
      <c r="AM41" s="42">
        <f t="shared" si="11"/>
        <v>3</v>
      </c>
      <c r="AN41" s="11">
        <v>4.0</v>
      </c>
      <c r="AO41" s="11">
        <v>4.0</v>
      </c>
      <c r="AP41" s="11">
        <v>4.0</v>
      </c>
      <c r="AQ41" s="11">
        <v>4.0</v>
      </c>
      <c r="AR41" s="11">
        <v>3.0</v>
      </c>
      <c r="AS41" s="11">
        <v>3.0</v>
      </c>
      <c r="AT41" s="11">
        <v>3.0</v>
      </c>
      <c r="AU41" s="11">
        <v>4.0</v>
      </c>
      <c r="AV41" s="11">
        <v>4.0</v>
      </c>
      <c r="AW41" s="11">
        <f t="shared" si="12"/>
        <v>33</v>
      </c>
    </row>
    <row r="42" ht="15.75" customHeight="1">
      <c r="A42" s="27" t="s">
        <v>162</v>
      </c>
      <c r="B42" s="27" t="s">
        <v>74</v>
      </c>
      <c r="C42" s="11" t="s">
        <v>69</v>
      </c>
      <c r="D42" s="27" t="s">
        <v>64</v>
      </c>
      <c r="E42" s="27" t="s">
        <v>173</v>
      </c>
      <c r="F42" s="27">
        <v>4.0</v>
      </c>
      <c r="G42" s="27">
        <v>3.0</v>
      </c>
      <c r="H42" s="27">
        <v>2.0</v>
      </c>
      <c r="I42" s="27">
        <v>2.0</v>
      </c>
      <c r="J42" s="31">
        <f t="shared" si="1"/>
        <v>7</v>
      </c>
      <c r="K42" s="27">
        <v>2.0</v>
      </c>
      <c r="L42" s="27">
        <v>2.0</v>
      </c>
      <c r="M42" s="30">
        <f t="shared" si="2"/>
        <v>4</v>
      </c>
      <c r="N42" s="32">
        <f t="shared" si="3"/>
        <v>15</v>
      </c>
      <c r="O42" s="56">
        <v>3.0</v>
      </c>
      <c r="P42" s="57">
        <v>2.0</v>
      </c>
      <c r="Q42" s="57">
        <v>2.0</v>
      </c>
      <c r="R42" s="56">
        <v>2.0</v>
      </c>
      <c r="S42" s="56">
        <v>3.0</v>
      </c>
      <c r="T42" s="56">
        <v>2.0</v>
      </c>
      <c r="U42" s="56">
        <v>2.0</v>
      </c>
      <c r="V42" s="56">
        <v>3.0</v>
      </c>
      <c r="W42" s="37">
        <v>3.0</v>
      </c>
      <c r="X42" s="37">
        <v>3.0</v>
      </c>
      <c r="Y42" s="37">
        <v>2.0</v>
      </c>
      <c r="Z42" s="37">
        <v>2.0</v>
      </c>
      <c r="AA42" s="37">
        <v>2.0</v>
      </c>
      <c r="AB42" s="38">
        <v>3.0</v>
      </c>
      <c r="AC42" s="38">
        <v>3.0</v>
      </c>
      <c r="AD42" s="39">
        <v>2.0</v>
      </c>
      <c r="AE42" s="40">
        <v>3.0</v>
      </c>
      <c r="AF42" s="40">
        <v>3.0</v>
      </c>
      <c r="AG42" s="39">
        <v>2.0</v>
      </c>
      <c r="AH42" s="39">
        <v>2.0</v>
      </c>
      <c r="AI42" s="41"/>
      <c r="AJ42" s="41"/>
      <c r="AK42" s="11">
        <v>2.5</v>
      </c>
      <c r="AL42" s="11">
        <v>2.5</v>
      </c>
      <c r="AM42" s="42">
        <f t="shared" si="11"/>
        <v>2</v>
      </c>
      <c r="AN42" s="11">
        <v>4.0</v>
      </c>
      <c r="AO42" s="11">
        <v>3.0</v>
      </c>
      <c r="AP42" s="11">
        <v>4.0</v>
      </c>
      <c r="AQ42" s="11">
        <v>4.0</v>
      </c>
      <c r="AR42" s="11">
        <v>3.0</v>
      </c>
      <c r="AS42" s="11">
        <v>4.0</v>
      </c>
      <c r="AT42" s="11">
        <v>4.0</v>
      </c>
      <c r="AU42" s="11">
        <v>3.0</v>
      </c>
      <c r="AV42" s="11">
        <v>4.0</v>
      </c>
      <c r="AW42" s="11">
        <f t="shared" si="12"/>
        <v>33</v>
      </c>
    </row>
    <row r="43" ht="15.75" customHeight="1">
      <c r="A43" s="27" t="s">
        <v>162</v>
      </c>
      <c r="B43" s="27" t="s">
        <v>74</v>
      </c>
      <c r="C43" s="11" t="s">
        <v>69</v>
      </c>
      <c r="D43" s="27" t="s">
        <v>64</v>
      </c>
      <c r="E43" s="27" t="s">
        <v>174</v>
      </c>
      <c r="F43" s="27">
        <v>5.0</v>
      </c>
      <c r="G43" s="27">
        <v>3.0</v>
      </c>
      <c r="H43" s="27">
        <v>3.0</v>
      </c>
      <c r="I43" s="27">
        <v>2.0</v>
      </c>
      <c r="J43" s="31">
        <f t="shared" si="1"/>
        <v>8</v>
      </c>
      <c r="K43" s="27">
        <v>2.0</v>
      </c>
      <c r="L43" s="27">
        <v>2.0</v>
      </c>
      <c r="M43" s="30">
        <f t="shared" si="2"/>
        <v>4</v>
      </c>
      <c r="N43" s="32">
        <f t="shared" si="3"/>
        <v>17</v>
      </c>
      <c r="O43" s="56">
        <v>3.0</v>
      </c>
      <c r="P43" s="57">
        <v>3.0</v>
      </c>
      <c r="Q43" s="57">
        <v>3.0</v>
      </c>
      <c r="R43" s="56">
        <v>3.0</v>
      </c>
      <c r="S43" s="56">
        <v>3.0</v>
      </c>
      <c r="T43" s="56">
        <v>3.0</v>
      </c>
      <c r="U43" s="56">
        <v>3.0</v>
      </c>
      <c r="V43" s="56">
        <v>3.0</v>
      </c>
      <c r="W43" s="37">
        <v>3.0</v>
      </c>
      <c r="X43" s="37">
        <v>3.0</v>
      </c>
      <c r="Y43" s="37">
        <v>3.0</v>
      </c>
      <c r="Z43" s="37">
        <v>3.0</v>
      </c>
      <c r="AA43" s="37">
        <v>3.0</v>
      </c>
      <c r="AB43" s="38">
        <v>3.0</v>
      </c>
      <c r="AC43" s="38">
        <v>3.0</v>
      </c>
      <c r="AD43" s="39">
        <v>3.0</v>
      </c>
      <c r="AE43" s="40">
        <v>3.0</v>
      </c>
      <c r="AF43" s="40">
        <v>3.0</v>
      </c>
      <c r="AG43" s="39">
        <v>3.0</v>
      </c>
      <c r="AH43" s="39">
        <v>3.0</v>
      </c>
      <c r="AI43" s="41"/>
      <c r="AJ43" s="41"/>
      <c r="AK43" s="11">
        <v>3.0</v>
      </c>
      <c r="AL43" s="11">
        <v>3.0</v>
      </c>
      <c r="AM43" s="42">
        <f t="shared" si="11"/>
        <v>3</v>
      </c>
      <c r="AN43" s="11">
        <v>4.0</v>
      </c>
      <c r="AO43" s="11">
        <v>4.0</v>
      </c>
      <c r="AP43" s="11">
        <v>4.0</v>
      </c>
      <c r="AQ43" s="11">
        <v>4.0</v>
      </c>
      <c r="AR43" s="11">
        <v>4.0</v>
      </c>
      <c r="AS43" s="11">
        <v>4.0</v>
      </c>
      <c r="AT43" s="11">
        <v>4.0</v>
      </c>
      <c r="AU43" s="11">
        <v>4.0</v>
      </c>
      <c r="AV43" s="11">
        <v>3.0</v>
      </c>
      <c r="AW43" s="11">
        <f t="shared" si="12"/>
        <v>35</v>
      </c>
    </row>
    <row r="44" ht="15.75" customHeight="1">
      <c r="A44" s="27" t="s">
        <v>162</v>
      </c>
      <c r="B44" s="27" t="s">
        <v>74</v>
      </c>
      <c r="C44" s="11" t="s">
        <v>69</v>
      </c>
      <c r="D44" s="27" t="s">
        <v>64</v>
      </c>
      <c r="E44" s="27" t="s">
        <v>175</v>
      </c>
      <c r="F44" s="27">
        <v>2.5</v>
      </c>
      <c r="G44" s="27">
        <v>3.0</v>
      </c>
      <c r="H44" s="27">
        <v>2.0</v>
      </c>
      <c r="I44" s="27">
        <v>2.0</v>
      </c>
      <c r="J44" s="31">
        <f t="shared" si="1"/>
        <v>7</v>
      </c>
      <c r="K44" s="27">
        <v>2.0</v>
      </c>
      <c r="L44" s="27">
        <v>2.0</v>
      </c>
      <c r="M44" s="30">
        <f t="shared" si="2"/>
        <v>4</v>
      </c>
      <c r="N44" s="32">
        <f t="shared" si="3"/>
        <v>13.5</v>
      </c>
      <c r="O44" s="56">
        <v>3.0</v>
      </c>
      <c r="P44" s="57">
        <v>3.0</v>
      </c>
      <c r="Q44" s="57">
        <v>3.0</v>
      </c>
      <c r="R44" s="56">
        <v>2.0</v>
      </c>
      <c r="S44" s="56">
        <v>3.0</v>
      </c>
      <c r="T44" s="56">
        <v>2.0</v>
      </c>
      <c r="U44" s="56">
        <v>3.0</v>
      </c>
      <c r="V44" s="56">
        <v>3.0</v>
      </c>
      <c r="W44" s="37">
        <v>3.0</v>
      </c>
      <c r="X44" s="37">
        <v>3.0</v>
      </c>
      <c r="Y44" s="37">
        <v>2.0</v>
      </c>
      <c r="Z44" s="37">
        <v>3.0</v>
      </c>
      <c r="AA44" s="37">
        <v>2.0</v>
      </c>
      <c r="AB44" s="38">
        <v>3.0</v>
      </c>
      <c r="AC44" s="38">
        <v>3.0</v>
      </c>
      <c r="AD44" s="39">
        <v>3.0</v>
      </c>
      <c r="AE44" s="40">
        <v>3.0</v>
      </c>
      <c r="AF44" s="40">
        <v>3.0</v>
      </c>
      <c r="AG44" s="39">
        <v>3.0</v>
      </c>
      <c r="AH44" s="39">
        <v>3.0</v>
      </c>
      <c r="AI44" s="41"/>
      <c r="AJ44" s="41"/>
      <c r="AK44" s="11">
        <v>2.5</v>
      </c>
      <c r="AL44" s="11">
        <v>2.5</v>
      </c>
      <c r="AM44" s="42">
        <f t="shared" si="11"/>
        <v>3</v>
      </c>
      <c r="AN44" s="11">
        <v>4.0</v>
      </c>
      <c r="AO44" s="11">
        <v>3.0</v>
      </c>
      <c r="AP44" s="11">
        <v>4.0</v>
      </c>
      <c r="AQ44" s="11">
        <v>4.0</v>
      </c>
      <c r="AR44" s="11">
        <v>3.0</v>
      </c>
      <c r="AS44" s="11">
        <v>4.0</v>
      </c>
      <c r="AT44" s="11">
        <v>4.0</v>
      </c>
      <c r="AU44" s="11">
        <v>3.0</v>
      </c>
      <c r="AV44" s="11">
        <v>4.0</v>
      </c>
      <c r="AW44" s="11">
        <f t="shared" si="12"/>
        <v>33</v>
      </c>
    </row>
    <row r="45" ht="15.75" customHeight="1">
      <c r="A45" s="27" t="s">
        <v>162</v>
      </c>
      <c r="B45" s="27" t="s">
        <v>176</v>
      </c>
      <c r="C45" s="11" t="s">
        <v>66</v>
      </c>
      <c r="D45" s="27" t="s">
        <v>64</v>
      </c>
      <c r="E45" s="27" t="s">
        <v>177</v>
      </c>
      <c r="F45" s="27">
        <v>5.0</v>
      </c>
      <c r="G45" s="27">
        <v>4.0</v>
      </c>
      <c r="H45" s="27">
        <v>3.0</v>
      </c>
      <c r="I45" s="27">
        <v>2.0</v>
      </c>
      <c r="J45" s="31">
        <f t="shared" si="1"/>
        <v>9</v>
      </c>
      <c r="K45" s="27">
        <v>2.0</v>
      </c>
      <c r="L45" s="27">
        <v>2.0</v>
      </c>
      <c r="M45" s="30">
        <f t="shared" si="2"/>
        <v>4</v>
      </c>
      <c r="N45" s="32">
        <f t="shared" si="3"/>
        <v>18</v>
      </c>
      <c r="O45" s="56">
        <v>3.0</v>
      </c>
      <c r="P45" s="57">
        <v>3.0</v>
      </c>
      <c r="Q45" s="57">
        <v>3.0</v>
      </c>
      <c r="R45" s="56">
        <v>3.0</v>
      </c>
      <c r="S45" s="56">
        <v>2.0</v>
      </c>
      <c r="T45" s="56">
        <v>2.0</v>
      </c>
      <c r="U45" s="56">
        <v>2.0</v>
      </c>
      <c r="V45" s="56">
        <v>2.0</v>
      </c>
      <c r="W45" s="37">
        <v>2.0</v>
      </c>
      <c r="X45" s="37">
        <v>3.0</v>
      </c>
      <c r="Y45" s="37">
        <v>2.0</v>
      </c>
      <c r="Z45" s="37">
        <v>3.0</v>
      </c>
      <c r="AA45" s="37">
        <v>3.0</v>
      </c>
      <c r="AB45" s="38">
        <v>3.0</v>
      </c>
      <c r="AC45" s="38">
        <v>3.0</v>
      </c>
      <c r="AD45" s="39">
        <v>2.0</v>
      </c>
      <c r="AE45" s="40">
        <v>1.0</v>
      </c>
      <c r="AF45" s="40">
        <v>1.0</v>
      </c>
      <c r="AG45" s="39">
        <v>2.0</v>
      </c>
      <c r="AH45" s="39">
        <v>2.0</v>
      </c>
      <c r="AI45" s="41"/>
      <c r="AJ45" s="41"/>
      <c r="AK45" s="11">
        <v>1.75</v>
      </c>
      <c r="AL45" s="11">
        <v>1.75</v>
      </c>
      <c r="AM45" s="42">
        <f t="shared" si="11"/>
        <v>2</v>
      </c>
      <c r="AN45" s="11">
        <v>3.0</v>
      </c>
      <c r="AO45" s="11">
        <v>3.0</v>
      </c>
      <c r="AP45" s="11">
        <v>3.0</v>
      </c>
      <c r="AQ45" s="11">
        <v>4.0</v>
      </c>
      <c r="AR45" s="11">
        <v>4.0</v>
      </c>
      <c r="AS45" s="11">
        <v>4.0</v>
      </c>
      <c r="AT45" s="11">
        <v>4.0</v>
      </c>
      <c r="AU45" s="11">
        <v>3.0</v>
      </c>
      <c r="AV45" s="11">
        <v>3.0</v>
      </c>
      <c r="AW45" s="11">
        <f t="shared" si="12"/>
        <v>31</v>
      </c>
    </row>
    <row r="46" ht="15.75" customHeight="1">
      <c r="A46" s="27" t="s">
        <v>162</v>
      </c>
      <c r="B46" s="27" t="s">
        <v>178</v>
      </c>
      <c r="C46" s="11" t="s">
        <v>62</v>
      </c>
      <c r="D46" s="27" t="s">
        <v>64</v>
      </c>
      <c r="E46" s="27" t="s">
        <v>179</v>
      </c>
      <c r="F46" s="27">
        <v>2.0</v>
      </c>
      <c r="G46" s="27">
        <v>4.0</v>
      </c>
      <c r="H46" s="27">
        <v>2.0</v>
      </c>
      <c r="I46" s="27">
        <v>2.0</v>
      </c>
      <c r="J46" s="31">
        <f t="shared" si="1"/>
        <v>8</v>
      </c>
      <c r="K46" s="27">
        <v>2.0</v>
      </c>
      <c r="L46" s="27">
        <v>2.0</v>
      </c>
      <c r="M46" s="30">
        <f t="shared" si="2"/>
        <v>4</v>
      </c>
      <c r="N46" s="32">
        <f t="shared" si="3"/>
        <v>14</v>
      </c>
      <c r="O46" s="56">
        <v>3.0</v>
      </c>
      <c r="P46" s="57">
        <v>3.0</v>
      </c>
      <c r="Q46" s="57">
        <v>3.0</v>
      </c>
      <c r="R46" s="56">
        <v>3.0</v>
      </c>
      <c r="S46" s="56">
        <v>3.0</v>
      </c>
      <c r="T46" s="56">
        <v>3.0</v>
      </c>
      <c r="U46" s="56">
        <v>3.0</v>
      </c>
      <c r="V46" s="56">
        <v>3.0</v>
      </c>
      <c r="W46" s="37">
        <v>3.0</v>
      </c>
      <c r="X46" s="37">
        <v>3.0</v>
      </c>
      <c r="Y46" s="37">
        <v>3.0</v>
      </c>
      <c r="Z46" s="37">
        <v>3.0</v>
      </c>
      <c r="AA46" s="37">
        <v>3.0</v>
      </c>
      <c r="AB46" s="38">
        <v>3.0</v>
      </c>
      <c r="AC46" s="38">
        <v>3.0</v>
      </c>
      <c r="AD46" s="39">
        <v>3.0</v>
      </c>
      <c r="AE46" s="40">
        <v>3.0</v>
      </c>
      <c r="AF46" s="40">
        <v>3.0</v>
      </c>
      <c r="AG46" s="39">
        <v>3.0</v>
      </c>
      <c r="AH46" s="39">
        <v>3.0</v>
      </c>
      <c r="AI46" s="41"/>
      <c r="AJ46" s="41"/>
      <c r="AK46" s="11">
        <v>2.5</v>
      </c>
      <c r="AL46" s="11">
        <v>2.5</v>
      </c>
      <c r="AM46" s="42">
        <f t="shared" si="11"/>
        <v>3</v>
      </c>
      <c r="AN46" s="11">
        <v>4.0</v>
      </c>
      <c r="AO46" s="11">
        <v>4.0</v>
      </c>
      <c r="AP46" s="11">
        <v>4.0</v>
      </c>
      <c r="AQ46" s="11">
        <v>4.0</v>
      </c>
      <c r="AR46" s="11">
        <v>4.0</v>
      </c>
      <c r="AS46" s="11">
        <v>4.0</v>
      </c>
      <c r="AT46" s="11">
        <v>4.0</v>
      </c>
      <c r="AU46" s="11">
        <v>4.0</v>
      </c>
      <c r="AV46" s="11">
        <v>4.0</v>
      </c>
      <c r="AW46" s="11">
        <f t="shared" si="12"/>
        <v>36</v>
      </c>
    </row>
    <row r="47" ht="15.75" customHeight="1">
      <c r="A47" s="27" t="s">
        <v>162</v>
      </c>
      <c r="B47" s="27" t="s">
        <v>154</v>
      </c>
      <c r="C47" s="11" t="s">
        <v>66</v>
      </c>
      <c r="D47" s="27" t="s">
        <v>64</v>
      </c>
      <c r="E47" s="27" t="s">
        <v>181</v>
      </c>
      <c r="F47" s="27">
        <v>5.0</v>
      </c>
      <c r="G47" s="27">
        <v>3.0</v>
      </c>
      <c r="H47" s="27">
        <v>3.0</v>
      </c>
      <c r="I47" s="27">
        <v>2.0</v>
      </c>
      <c r="J47" s="31">
        <f t="shared" si="1"/>
        <v>8</v>
      </c>
      <c r="K47" s="27">
        <v>2.0</v>
      </c>
      <c r="L47" s="27">
        <v>3.0</v>
      </c>
      <c r="M47" s="30">
        <f t="shared" si="2"/>
        <v>5</v>
      </c>
      <c r="N47" s="32">
        <f t="shared" si="3"/>
        <v>18</v>
      </c>
      <c r="O47" s="56">
        <v>3.0</v>
      </c>
      <c r="P47" s="57">
        <v>3.0</v>
      </c>
      <c r="Q47" s="57">
        <v>3.0</v>
      </c>
      <c r="R47" s="56">
        <v>3.0</v>
      </c>
      <c r="S47" s="56">
        <v>3.0</v>
      </c>
      <c r="T47" s="56">
        <v>3.0</v>
      </c>
      <c r="U47" s="56">
        <v>3.0</v>
      </c>
      <c r="V47" s="56">
        <v>3.0</v>
      </c>
      <c r="W47" s="37">
        <v>3.0</v>
      </c>
      <c r="X47" s="37">
        <v>3.0</v>
      </c>
      <c r="Y47" s="37">
        <v>3.0</v>
      </c>
      <c r="Z47" s="37">
        <v>3.0</v>
      </c>
      <c r="AA47" s="37">
        <v>3.0</v>
      </c>
      <c r="AB47" s="38">
        <v>3.0</v>
      </c>
      <c r="AC47" s="38">
        <v>3.0</v>
      </c>
      <c r="AD47" s="39">
        <v>3.0</v>
      </c>
      <c r="AE47" s="40">
        <v>2.0</v>
      </c>
      <c r="AF47" s="40">
        <v>2.0</v>
      </c>
      <c r="AG47" s="39">
        <v>3.0</v>
      </c>
      <c r="AH47" s="39">
        <v>3.0</v>
      </c>
      <c r="AI47" s="41"/>
      <c r="AJ47" s="41"/>
      <c r="AK47" s="11">
        <v>3.0</v>
      </c>
      <c r="AL47" s="11">
        <v>2.0</v>
      </c>
      <c r="AM47" s="42">
        <f t="shared" si="11"/>
        <v>3</v>
      </c>
      <c r="AN47" s="11">
        <v>4.0</v>
      </c>
      <c r="AO47" s="11">
        <v>4.0</v>
      </c>
      <c r="AP47" s="11">
        <v>4.0</v>
      </c>
      <c r="AQ47" s="11">
        <v>4.0</v>
      </c>
      <c r="AR47" s="11">
        <v>4.0</v>
      </c>
      <c r="AS47" s="11">
        <v>4.0</v>
      </c>
      <c r="AT47" s="11">
        <v>4.0</v>
      </c>
      <c r="AU47" s="11">
        <v>4.0</v>
      </c>
      <c r="AV47" s="11">
        <v>4.0</v>
      </c>
      <c r="AW47" s="11">
        <f t="shared" si="12"/>
        <v>36</v>
      </c>
    </row>
    <row r="48" ht="15.75" customHeight="1">
      <c r="A48" s="27" t="s">
        <v>162</v>
      </c>
      <c r="B48" s="27" t="s">
        <v>80</v>
      </c>
      <c r="C48" s="11" t="s">
        <v>66</v>
      </c>
      <c r="D48" s="27" t="s">
        <v>64</v>
      </c>
      <c r="E48" s="27" t="s">
        <v>182</v>
      </c>
      <c r="F48" s="27">
        <v>5.0</v>
      </c>
      <c r="G48" s="27">
        <v>4.0</v>
      </c>
      <c r="H48" s="27">
        <v>3.0</v>
      </c>
      <c r="I48" s="27">
        <v>2.0</v>
      </c>
      <c r="J48" s="31">
        <f t="shared" si="1"/>
        <v>9</v>
      </c>
      <c r="K48" s="27">
        <v>2.0</v>
      </c>
      <c r="L48" s="27">
        <v>2.0</v>
      </c>
      <c r="M48" s="30">
        <f t="shared" si="2"/>
        <v>4</v>
      </c>
      <c r="N48" s="32">
        <f t="shared" si="3"/>
        <v>18</v>
      </c>
      <c r="O48" s="56">
        <v>2.0</v>
      </c>
      <c r="P48" s="57">
        <v>2.0</v>
      </c>
      <c r="Q48" s="57">
        <v>2.0</v>
      </c>
      <c r="R48" s="56">
        <v>3.0</v>
      </c>
      <c r="S48" s="56">
        <v>3.0</v>
      </c>
      <c r="T48" s="56">
        <v>3.0</v>
      </c>
      <c r="U48" s="56">
        <v>3.0</v>
      </c>
      <c r="V48" s="56">
        <v>3.0</v>
      </c>
      <c r="W48" s="37">
        <v>3.0</v>
      </c>
      <c r="X48" s="37">
        <v>3.0</v>
      </c>
      <c r="Y48" s="37">
        <v>3.0</v>
      </c>
      <c r="Z48" s="37">
        <v>3.0</v>
      </c>
      <c r="AA48" s="37">
        <v>3.0</v>
      </c>
      <c r="AB48" s="38">
        <v>3.0</v>
      </c>
      <c r="AC48" s="38">
        <v>3.0</v>
      </c>
      <c r="AD48" s="39">
        <v>2.0</v>
      </c>
      <c r="AE48" s="40">
        <v>3.0</v>
      </c>
      <c r="AF48" s="40">
        <v>3.0</v>
      </c>
      <c r="AG48" s="39">
        <v>2.0</v>
      </c>
      <c r="AH48" s="39">
        <v>2.0</v>
      </c>
      <c r="AI48" s="41"/>
      <c r="AJ48" s="41"/>
      <c r="AK48" s="11">
        <v>1.75</v>
      </c>
      <c r="AL48" s="11">
        <v>1.75</v>
      </c>
      <c r="AM48" s="42">
        <f t="shared" si="11"/>
        <v>3</v>
      </c>
      <c r="AN48" s="11">
        <v>4.0</v>
      </c>
      <c r="AO48" s="11">
        <v>4.0</v>
      </c>
      <c r="AP48" s="11">
        <v>3.0</v>
      </c>
      <c r="AQ48" s="11">
        <v>4.0</v>
      </c>
      <c r="AR48" s="11">
        <v>3.0</v>
      </c>
      <c r="AS48" s="11">
        <v>4.0</v>
      </c>
      <c r="AT48" s="11">
        <v>4.0</v>
      </c>
      <c r="AU48" s="11">
        <v>4.0</v>
      </c>
      <c r="AV48" s="11">
        <v>4.0</v>
      </c>
      <c r="AW48" s="11">
        <f t="shared" si="12"/>
        <v>34</v>
      </c>
    </row>
    <row r="49" ht="15.75" customHeight="1">
      <c r="A49" s="27" t="s">
        <v>162</v>
      </c>
      <c r="B49" s="27" t="s">
        <v>83</v>
      </c>
      <c r="C49" s="11" t="s">
        <v>66</v>
      </c>
      <c r="D49" s="27" t="s">
        <v>64</v>
      </c>
      <c r="E49" s="27" t="s">
        <v>183</v>
      </c>
      <c r="F49" s="27">
        <v>3.0</v>
      </c>
      <c r="G49" s="27">
        <v>3.0</v>
      </c>
      <c r="H49" s="27">
        <v>2.0</v>
      </c>
      <c r="I49" s="27">
        <v>1.0</v>
      </c>
      <c r="J49" s="31">
        <f t="shared" si="1"/>
        <v>6</v>
      </c>
      <c r="K49" s="27">
        <v>2.0</v>
      </c>
      <c r="L49" s="27">
        <v>2.0</v>
      </c>
      <c r="M49" s="30">
        <f t="shared" si="2"/>
        <v>4</v>
      </c>
      <c r="N49" s="32">
        <f t="shared" si="3"/>
        <v>13</v>
      </c>
      <c r="O49" s="56">
        <v>3.0</v>
      </c>
      <c r="P49" s="57">
        <v>3.0</v>
      </c>
      <c r="Q49" s="57">
        <v>3.0</v>
      </c>
      <c r="R49" s="56">
        <v>3.0</v>
      </c>
      <c r="S49" s="56">
        <v>3.0</v>
      </c>
      <c r="T49" s="56">
        <v>3.0</v>
      </c>
      <c r="U49" s="56">
        <v>3.0</v>
      </c>
      <c r="V49" s="56">
        <v>3.0</v>
      </c>
      <c r="W49" s="37">
        <v>3.0</v>
      </c>
      <c r="X49" s="37">
        <v>2.0</v>
      </c>
      <c r="Y49" s="37">
        <v>3.0</v>
      </c>
      <c r="Z49" s="37">
        <v>3.0</v>
      </c>
      <c r="AA49" s="37">
        <v>3.0</v>
      </c>
      <c r="AB49" s="38">
        <v>3.0</v>
      </c>
      <c r="AC49" s="38">
        <v>3.0</v>
      </c>
      <c r="AD49" s="39">
        <v>3.0</v>
      </c>
      <c r="AE49" s="40">
        <v>3.0</v>
      </c>
      <c r="AF49" s="40">
        <v>3.0</v>
      </c>
      <c r="AG49" s="39">
        <v>3.0</v>
      </c>
      <c r="AH49" s="39">
        <v>3.0</v>
      </c>
      <c r="AI49" s="41"/>
      <c r="AJ49" s="41"/>
      <c r="AK49" s="11">
        <v>2.5</v>
      </c>
      <c r="AL49" s="11">
        <v>2.5</v>
      </c>
      <c r="AM49" s="42">
        <f t="shared" si="11"/>
        <v>3</v>
      </c>
      <c r="AN49" s="11">
        <v>4.0</v>
      </c>
      <c r="AO49" s="11">
        <v>4.0</v>
      </c>
      <c r="AP49" s="11">
        <v>4.0</v>
      </c>
      <c r="AQ49" s="11">
        <v>4.0</v>
      </c>
      <c r="AR49" s="11">
        <v>4.0</v>
      </c>
      <c r="AS49" s="11">
        <v>4.0</v>
      </c>
      <c r="AT49" s="11">
        <v>4.0</v>
      </c>
      <c r="AU49" s="11">
        <v>4.0</v>
      </c>
      <c r="AV49" s="11">
        <v>4.0</v>
      </c>
      <c r="AW49" s="11">
        <f t="shared" si="12"/>
        <v>36</v>
      </c>
    </row>
    <row r="50" ht="15.75" customHeight="1">
      <c r="A50" s="27" t="s">
        <v>162</v>
      </c>
      <c r="B50" s="27" t="s">
        <v>184</v>
      </c>
      <c r="C50" s="11" t="s">
        <v>66</v>
      </c>
      <c r="D50" s="27" t="s">
        <v>64</v>
      </c>
      <c r="E50" s="27" t="s">
        <v>185</v>
      </c>
      <c r="F50" s="27">
        <v>5.0</v>
      </c>
      <c r="G50" s="27">
        <v>4.0</v>
      </c>
      <c r="H50" s="27">
        <v>3.0</v>
      </c>
      <c r="I50" s="27">
        <v>2.0</v>
      </c>
      <c r="J50" s="31">
        <f t="shared" si="1"/>
        <v>9</v>
      </c>
      <c r="K50" s="27">
        <v>2.0</v>
      </c>
      <c r="L50" s="27">
        <v>3.0</v>
      </c>
      <c r="M50" s="30">
        <f t="shared" si="2"/>
        <v>5</v>
      </c>
      <c r="N50" s="32">
        <f t="shared" si="3"/>
        <v>19</v>
      </c>
      <c r="O50" s="56">
        <v>3.0</v>
      </c>
      <c r="P50" s="57">
        <v>3.0</v>
      </c>
      <c r="Q50" s="57">
        <v>3.0</v>
      </c>
      <c r="R50" s="56">
        <v>3.0</v>
      </c>
      <c r="S50" s="56">
        <v>3.0</v>
      </c>
      <c r="T50" s="56">
        <v>3.0</v>
      </c>
      <c r="U50" s="56">
        <v>2.0</v>
      </c>
      <c r="V50" s="56">
        <v>3.0</v>
      </c>
      <c r="W50" s="37">
        <v>3.0</v>
      </c>
      <c r="X50" s="37">
        <v>3.0</v>
      </c>
      <c r="Y50" s="37">
        <v>3.0</v>
      </c>
      <c r="Z50" s="37">
        <v>3.0</v>
      </c>
      <c r="AA50" s="37">
        <v>3.0</v>
      </c>
      <c r="AB50" s="38">
        <v>2.0</v>
      </c>
      <c r="AC50" s="38">
        <v>2.0</v>
      </c>
      <c r="AD50" s="39">
        <v>3.0</v>
      </c>
      <c r="AE50" s="40">
        <v>3.0</v>
      </c>
      <c r="AF50" s="40">
        <v>3.0</v>
      </c>
      <c r="AG50" s="39">
        <v>3.0</v>
      </c>
      <c r="AH50" s="39">
        <v>3.0</v>
      </c>
      <c r="AI50" s="41"/>
      <c r="AJ50" s="41"/>
      <c r="AK50" s="11">
        <v>3.0</v>
      </c>
      <c r="AL50" s="11">
        <v>3.0</v>
      </c>
      <c r="AM50" s="42">
        <f t="shared" si="11"/>
        <v>3</v>
      </c>
      <c r="AN50" s="11">
        <v>4.0</v>
      </c>
      <c r="AO50" s="11">
        <v>4.0</v>
      </c>
      <c r="AP50" s="11">
        <v>4.0</v>
      </c>
      <c r="AQ50" s="11">
        <v>3.0</v>
      </c>
      <c r="AR50" s="11">
        <v>4.0</v>
      </c>
      <c r="AS50" s="11">
        <v>4.0</v>
      </c>
      <c r="AT50" s="11">
        <v>3.0</v>
      </c>
      <c r="AU50" s="11">
        <v>4.0</v>
      </c>
      <c r="AV50" s="11">
        <v>4.0</v>
      </c>
      <c r="AW50" s="11">
        <f t="shared" si="12"/>
        <v>34</v>
      </c>
    </row>
    <row r="51" ht="15.75" customHeight="1">
      <c r="A51" s="27" t="s">
        <v>162</v>
      </c>
      <c r="B51" s="27" t="s">
        <v>169</v>
      </c>
      <c r="C51" s="11" t="s">
        <v>66</v>
      </c>
      <c r="D51" s="27" t="s">
        <v>64</v>
      </c>
      <c r="E51" s="27" t="s">
        <v>186</v>
      </c>
      <c r="F51" s="27">
        <v>5.0</v>
      </c>
      <c r="G51" s="27">
        <v>4.0</v>
      </c>
      <c r="H51" s="27">
        <v>3.0</v>
      </c>
      <c r="I51" s="27">
        <v>2.0</v>
      </c>
      <c r="J51" s="31">
        <f t="shared" si="1"/>
        <v>9</v>
      </c>
      <c r="K51" s="27">
        <v>2.0</v>
      </c>
      <c r="L51" s="27">
        <v>3.0</v>
      </c>
      <c r="M51" s="30">
        <f t="shared" si="2"/>
        <v>5</v>
      </c>
      <c r="N51" s="32">
        <f t="shared" si="3"/>
        <v>19</v>
      </c>
      <c r="O51" s="56">
        <v>3.0</v>
      </c>
      <c r="P51" s="57">
        <v>3.0</v>
      </c>
      <c r="Q51" s="57">
        <v>3.0</v>
      </c>
      <c r="R51" s="56">
        <v>3.0</v>
      </c>
      <c r="S51" s="56">
        <v>3.0</v>
      </c>
      <c r="T51" s="56">
        <v>3.0</v>
      </c>
      <c r="U51" s="56">
        <v>2.0</v>
      </c>
      <c r="V51" s="56">
        <v>3.0</v>
      </c>
      <c r="W51" s="37">
        <v>3.0</v>
      </c>
      <c r="X51" s="37">
        <v>3.0</v>
      </c>
      <c r="Y51" s="37">
        <v>3.0</v>
      </c>
      <c r="Z51" s="37">
        <v>3.0</v>
      </c>
      <c r="AA51" s="37">
        <v>3.0</v>
      </c>
      <c r="AB51" s="38">
        <v>2.0</v>
      </c>
      <c r="AC51" s="38">
        <v>2.0</v>
      </c>
      <c r="AD51" s="39">
        <v>3.0</v>
      </c>
      <c r="AE51" s="40">
        <v>3.0</v>
      </c>
      <c r="AF51" s="40">
        <v>3.0</v>
      </c>
      <c r="AG51" s="39">
        <v>3.0</v>
      </c>
      <c r="AH51" s="39">
        <v>3.0</v>
      </c>
      <c r="AI51" s="41"/>
      <c r="AJ51" s="41"/>
      <c r="AK51" s="11">
        <v>1.75</v>
      </c>
      <c r="AL51" s="11">
        <v>1.75</v>
      </c>
      <c r="AM51" s="42">
        <f t="shared" si="11"/>
        <v>3</v>
      </c>
      <c r="AN51" s="11">
        <v>4.0</v>
      </c>
      <c r="AO51" s="11">
        <v>4.0</v>
      </c>
      <c r="AP51" s="11">
        <v>4.0</v>
      </c>
      <c r="AQ51" s="11">
        <v>4.0</v>
      </c>
      <c r="AR51" s="11">
        <v>4.0</v>
      </c>
      <c r="AS51" s="11">
        <v>4.0</v>
      </c>
      <c r="AT51" s="11">
        <v>4.0</v>
      </c>
      <c r="AU51" s="11">
        <v>4.0</v>
      </c>
      <c r="AV51" s="11">
        <v>4.0</v>
      </c>
      <c r="AW51" s="11">
        <f t="shared" si="12"/>
        <v>36</v>
      </c>
    </row>
    <row r="52" ht="15.75" customHeight="1">
      <c r="A52" s="27" t="s">
        <v>162</v>
      </c>
      <c r="B52" s="27" t="s">
        <v>75</v>
      </c>
      <c r="C52" s="11" t="s">
        <v>66</v>
      </c>
      <c r="D52" s="27" t="s">
        <v>64</v>
      </c>
      <c r="E52" s="27" t="s">
        <v>187</v>
      </c>
      <c r="F52" s="27">
        <v>4.0</v>
      </c>
      <c r="G52" s="27">
        <v>3.0</v>
      </c>
      <c r="H52" s="27">
        <v>2.0</v>
      </c>
      <c r="I52" s="27">
        <v>1.0</v>
      </c>
      <c r="J52" s="31">
        <f t="shared" si="1"/>
        <v>6</v>
      </c>
      <c r="K52" s="27">
        <v>1.0</v>
      </c>
      <c r="L52" s="27">
        <v>2.0</v>
      </c>
      <c r="M52" s="30">
        <f t="shared" si="2"/>
        <v>3</v>
      </c>
      <c r="N52" s="32">
        <f t="shared" si="3"/>
        <v>13</v>
      </c>
      <c r="O52" s="56">
        <v>3.0</v>
      </c>
      <c r="P52" s="57">
        <v>3.0</v>
      </c>
      <c r="Q52" s="57">
        <v>2.0</v>
      </c>
      <c r="R52" s="56">
        <v>3.0</v>
      </c>
      <c r="S52" s="56">
        <v>3.0</v>
      </c>
      <c r="T52" s="56">
        <v>3.0</v>
      </c>
      <c r="U52" s="56">
        <v>2.0</v>
      </c>
      <c r="V52" s="56">
        <v>3.0</v>
      </c>
      <c r="W52" s="37">
        <v>3.0</v>
      </c>
      <c r="X52" s="37">
        <v>2.0</v>
      </c>
      <c r="Y52" s="37">
        <v>2.0</v>
      </c>
      <c r="Z52" s="37">
        <v>2.0</v>
      </c>
      <c r="AA52" s="37">
        <v>2.0</v>
      </c>
      <c r="AB52" s="38">
        <v>2.0</v>
      </c>
      <c r="AC52" s="38">
        <v>2.0</v>
      </c>
      <c r="AD52" s="39">
        <v>2.0</v>
      </c>
      <c r="AE52" s="40">
        <v>2.0</v>
      </c>
      <c r="AF52" s="40">
        <v>2.0</v>
      </c>
      <c r="AG52" s="39">
        <v>2.0</v>
      </c>
      <c r="AH52" s="39">
        <v>2.0</v>
      </c>
      <c r="AI52" s="41"/>
      <c r="AJ52" s="41"/>
      <c r="AK52" s="11">
        <v>2.5</v>
      </c>
      <c r="AL52" s="11">
        <v>1.75</v>
      </c>
      <c r="AM52" s="42">
        <f t="shared" si="11"/>
        <v>2</v>
      </c>
      <c r="AN52" s="11">
        <v>4.0</v>
      </c>
      <c r="AO52" s="11">
        <v>3.0</v>
      </c>
      <c r="AP52" s="11">
        <v>4.0</v>
      </c>
      <c r="AQ52" s="11">
        <v>3.0</v>
      </c>
      <c r="AR52" s="11">
        <v>4.0</v>
      </c>
      <c r="AS52" s="11">
        <v>4.0</v>
      </c>
      <c r="AT52" s="11">
        <v>3.0</v>
      </c>
      <c r="AU52" s="11">
        <v>3.0</v>
      </c>
      <c r="AV52" s="11">
        <v>3.0</v>
      </c>
      <c r="AW52" s="11">
        <f t="shared" si="12"/>
        <v>31</v>
      </c>
    </row>
    <row r="53" ht="15.75" customHeight="1">
      <c r="A53" s="27" t="s">
        <v>162</v>
      </c>
      <c r="B53" s="27" t="s">
        <v>113</v>
      </c>
      <c r="C53" s="11" t="s">
        <v>66</v>
      </c>
      <c r="D53" s="27" t="s">
        <v>64</v>
      </c>
      <c r="E53" s="27" t="s">
        <v>188</v>
      </c>
      <c r="F53" s="27">
        <v>5.0</v>
      </c>
      <c r="G53" s="27">
        <v>5.0</v>
      </c>
      <c r="H53" s="27">
        <v>3.0</v>
      </c>
      <c r="I53" s="27">
        <v>2.0</v>
      </c>
      <c r="J53" s="31">
        <f t="shared" si="1"/>
        <v>10</v>
      </c>
      <c r="K53" s="27">
        <v>2.0</v>
      </c>
      <c r="L53" s="27">
        <v>2.0</v>
      </c>
      <c r="M53" s="30">
        <f t="shared" si="2"/>
        <v>4</v>
      </c>
      <c r="N53" s="32">
        <f t="shared" si="3"/>
        <v>19</v>
      </c>
      <c r="O53" s="56">
        <v>3.0</v>
      </c>
      <c r="P53" s="57">
        <v>2.0</v>
      </c>
      <c r="Q53" s="57">
        <v>2.0</v>
      </c>
      <c r="R53" s="56">
        <v>2.0</v>
      </c>
      <c r="S53" s="56">
        <v>2.0</v>
      </c>
      <c r="T53" s="56">
        <v>2.0</v>
      </c>
      <c r="U53" s="56">
        <v>3.0</v>
      </c>
      <c r="V53" s="56">
        <v>3.0</v>
      </c>
      <c r="W53" s="37">
        <v>3.0</v>
      </c>
      <c r="X53" s="37">
        <v>2.0</v>
      </c>
      <c r="Y53" s="37">
        <v>2.0</v>
      </c>
      <c r="Z53" s="37">
        <v>2.0</v>
      </c>
      <c r="AA53" s="37">
        <v>2.0</v>
      </c>
      <c r="AB53" s="38">
        <v>2.0</v>
      </c>
      <c r="AC53" s="38">
        <v>2.0</v>
      </c>
      <c r="AD53" s="39">
        <v>2.0</v>
      </c>
      <c r="AE53" s="40">
        <v>2.0</v>
      </c>
      <c r="AF53" s="40">
        <v>2.0</v>
      </c>
      <c r="AG53" s="39">
        <v>2.0</v>
      </c>
      <c r="AH53" s="39">
        <v>2.0</v>
      </c>
      <c r="AI53" s="41"/>
      <c r="AJ53" s="41"/>
      <c r="AK53" s="11">
        <v>2.0</v>
      </c>
      <c r="AL53" s="11">
        <v>2.0</v>
      </c>
      <c r="AM53" s="42">
        <f t="shared" si="11"/>
        <v>2</v>
      </c>
      <c r="AN53" s="11">
        <v>3.0</v>
      </c>
      <c r="AO53" s="11">
        <v>2.0</v>
      </c>
      <c r="AP53" s="11">
        <v>3.0</v>
      </c>
      <c r="AQ53" s="11">
        <v>2.0</v>
      </c>
      <c r="AR53" s="11">
        <v>3.0</v>
      </c>
      <c r="AS53" s="11">
        <v>3.0</v>
      </c>
      <c r="AT53" s="11">
        <v>3.0</v>
      </c>
      <c r="AU53" s="11">
        <v>3.0</v>
      </c>
      <c r="AV53" s="11">
        <v>3.0</v>
      </c>
      <c r="AW53" s="11">
        <f t="shared" si="12"/>
        <v>25</v>
      </c>
    </row>
    <row r="54" ht="15.75" customHeight="1">
      <c r="A54" s="27" t="s">
        <v>59</v>
      </c>
      <c r="B54" s="27" t="s">
        <v>189</v>
      </c>
      <c r="C54" s="11" t="s">
        <v>66</v>
      </c>
      <c r="D54" s="27" t="s">
        <v>64</v>
      </c>
      <c r="E54" s="27" t="s">
        <v>190</v>
      </c>
      <c r="F54" s="27">
        <v>5.0</v>
      </c>
      <c r="G54" s="27">
        <v>4.0</v>
      </c>
      <c r="H54" s="27">
        <v>3.0</v>
      </c>
      <c r="I54" s="27">
        <v>2.0</v>
      </c>
      <c r="J54" s="31">
        <f t="shared" si="1"/>
        <v>9</v>
      </c>
      <c r="K54" s="27">
        <v>2.0</v>
      </c>
      <c r="L54" s="27">
        <v>2.0</v>
      </c>
      <c r="M54" s="30">
        <f t="shared" si="2"/>
        <v>4</v>
      </c>
      <c r="N54" s="32">
        <f t="shared" si="3"/>
        <v>18</v>
      </c>
      <c r="O54" s="56">
        <v>3.0</v>
      </c>
      <c r="P54" s="57">
        <v>3.0</v>
      </c>
      <c r="Q54" s="57">
        <v>3.0</v>
      </c>
      <c r="R54" s="56">
        <v>3.0</v>
      </c>
      <c r="S54" s="56">
        <v>3.0</v>
      </c>
      <c r="T54" s="56">
        <v>3.0</v>
      </c>
      <c r="U54" s="56">
        <v>3.0</v>
      </c>
      <c r="V54" s="56">
        <v>3.0</v>
      </c>
      <c r="W54" s="37">
        <v>2.0</v>
      </c>
      <c r="X54" s="37">
        <v>2.0</v>
      </c>
      <c r="Y54" s="37">
        <v>3.0</v>
      </c>
      <c r="Z54" s="37">
        <v>3.0</v>
      </c>
      <c r="AA54" s="37">
        <v>2.0</v>
      </c>
      <c r="AB54" s="38">
        <v>3.0</v>
      </c>
      <c r="AC54" s="38">
        <v>3.0</v>
      </c>
      <c r="AD54" s="39">
        <v>2.0</v>
      </c>
      <c r="AE54" s="40">
        <v>3.0</v>
      </c>
      <c r="AF54" s="40">
        <v>3.0</v>
      </c>
      <c r="AG54" s="39">
        <v>2.0</v>
      </c>
      <c r="AH54" s="39">
        <v>2.0</v>
      </c>
      <c r="AI54" s="41"/>
      <c r="AJ54" s="41"/>
      <c r="AK54" s="11">
        <v>2.5</v>
      </c>
      <c r="AL54" s="11">
        <v>1.75</v>
      </c>
      <c r="AM54" s="42">
        <f t="shared" si="11"/>
        <v>3</v>
      </c>
      <c r="AN54" s="11">
        <v>4.0</v>
      </c>
      <c r="AO54" s="11">
        <v>4.0</v>
      </c>
      <c r="AP54" s="11">
        <v>3.0</v>
      </c>
      <c r="AQ54" s="11">
        <v>4.0</v>
      </c>
      <c r="AR54" s="11">
        <v>4.0</v>
      </c>
      <c r="AS54" s="11">
        <v>4.0</v>
      </c>
      <c r="AT54" s="11">
        <v>4.0</v>
      </c>
      <c r="AU54" s="11">
        <v>4.0</v>
      </c>
      <c r="AV54" s="11">
        <v>4.0</v>
      </c>
      <c r="AW54" s="11">
        <f t="shared" si="12"/>
        <v>35</v>
      </c>
    </row>
    <row r="55" ht="15.75" customHeight="1">
      <c r="A55" s="27" t="s">
        <v>59</v>
      </c>
      <c r="B55" s="27" t="s">
        <v>82</v>
      </c>
      <c r="C55" s="11" t="s">
        <v>66</v>
      </c>
      <c r="D55" s="27" t="s">
        <v>64</v>
      </c>
      <c r="E55" s="27" t="s">
        <v>191</v>
      </c>
      <c r="F55" s="27">
        <v>5.0</v>
      </c>
      <c r="G55" s="27">
        <v>4.0</v>
      </c>
      <c r="H55" s="27">
        <v>3.0</v>
      </c>
      <c r="I55" s="27">
        <v>2.0</v>
      </c>
      <c r="J55" s="31">
        <f t="shared" si="1"/>
        <v>9</v>
      </c>
      <c r="K55" s="27">
        <v>2.0</v>
      </c>
      <c r="L55" s="27">
        <v>2.0</v>
      </c>
      <c r="M55" s="30">
        <f t="shared" si="2"/>
        <v>4</v>
      </c>
      <c r="N55" s="32">
        <f t="shared" si="3"/>
        <v>18</v>
      </c>
      <c r="O55" s="56">
        <v>3.0</v>
      </c>
      <c r="P55" s="57">
        <v>3.0</v>
      </c>
      <c r="Q55" s="57">
        <v>3.0</v>
      </c>
      <c r="R55" s="56">
        <v>2.0</v>
      </c>
      <c r="S55" s="56">
        <v>3.0</v>
      </c>
      <c r="T55" s="56">
        <v>3.0</v>
      </c>
      <c r="U55" s="56">
        <v>2.0</v>
      </c>
      <c r="V55" s="56">
        <v>3.0</v>
      </c>
      <c r="W55" s="37">
        <v>2.0</v>
      </c>
      <c r="X55" s="37">
        <v>3.0</v>
      </c>
      <c r="Y55" s="37">
        <v>3.0</v>
      </c>
      <c r="Z55" s="37">
        <v>3.0</v>
      </c>
      <c r="AA55" s="37">
        <v>3.0</v>
      </c>
      <c r="AB55" s="38">
        <v>3.0</v>
      </c>
      <c r="AC55" s="38">
        <v>3.0</v>
      </c>
      <c r="AD55" s="39">
        <v>2.0</v>
      </c>
      <c r="AE55" s="40">
        <v>3.0</v>
      </c>
      <c r="AF55" s="40">
        <v>3.0</v>
      </c>
      <c r="AG55" s="39"/>
      <c r="AH55" s="39"/>
      <c r="AI55" s="41"/>
      <c r="AJ55" s="41"/>
      <c r="AK55" s="11">
        <v>2.5</v>
      </c>
      <c r="AL55" s="11">
        <v>2.5</v>
      </c>
      <c r="AM55" s="42">
        <f t="shared" si="11"/>
        <v>3</v>
      </c>
      <c r="AN55" s="11">
        <v>3.0</v>
      </c>
      <c r="AO55" s="11">
        <v>3.0</v>
      </c>
      <c r="AP55" s="11">
        <v>4.0</v>
      </c>
      <c r="AQ55" s="11">
        <v>4.0</v>
      </c>
      <c r="AR55" s="11">
        <v>3.0</v>
      </c>
      <c r="AS55" s="11">
        <v>4.0</v>
      </c>
      <c r="AT55" s="11">
        <v>4.0</v>
      </c>
      <c r="AU55" s="11">
        <v>4.0</v>
      </c>
      <c r="AV55" s="11">
        <v>4.0</v>
      </c>
      <c r="AW55" s="11">
        <f t="shared" si="12"/>
        <v>33</v>
      </c>
    </row>
    <row r="56" ht="15.75" customHeight="1">
      <c r="A56" s="27" t="s">
        <v>59</v>
      </c>
      <c r="B56" s="27" t="s">
        <v>86</v>
      </c>
      <c r="C56" s="11" t="s">
        <v>66</v>
      </c>
      <c r="D56" s="27" t="s">
        <v>65</v>
      </c>
      <c r="E56" s="11" t="s">
        <v>192</v>
      </c>
      <c r="F56" s="11">
        <v>5.0</v>
      </c>
      <c r="G56" s="11">
        <v>4.0</v>
      </c>
      <c r="H56" s="11">
        <v>3.0</v>
      </c>
      <c r="I56" s="11">
        <v>2.0</v>
      </c>
      <c r="J56" s="31">
        <f t="shared" si="1"/>
        <v>9</v>
      </c>
      <c r="K56" s="11">
        <v>1.0</v>
      </c>
      <c r="L56" s="11">
        <v>3.0</v>
      </c>
      <c r="M56" s="30">
        <f t="shared" si="2"/>
        <v>4</v>
      </c>
      <c r="N56" s="32">
        <f t="shared" si="3"/>
        <v>18</v>
      </c>
      <c r="O56" s="56">
        <v>98.0</v>
      </c>
      <c r="P56" s="57">
        <v>99.0</v>
      </c>
      <c r="Q56" s="57">
        <v>100.0</v>
      </c>
      <c r="R56" s="56">
        <v>100.0</v>
      </c>
      <c r="S56" s="56">
        <v>100.0</v>
      </c>
      <c r="T56" s="56">
        <v>100.0</v>
      </c>
      <c r="U56" s="56">
        <v>100.0</v>
      </c>
      <c r="V56" s="56">
        <v>98.0</v>
      </c>
      <c r="W56" s="37">
        <v>98.0</v>
      </c>
      <c r="X56" s="37">
        <v>98.0</v>
      </c>
      <c r="Y56" s="37">
        <v>99.0</v>
      </c>
      <c r="Z56" s="37">
        <v>99.0</v>
      </c>
      <c r="AA56" s="37">
        <v>99.0</v>
      </c>
      <c r="AB56" s="38">
        <v>99.0</v>
      </c>
      <c r="AC56" s="38">
        <v>99.0</v>
      </c>
      <c r="AD56" s="39">
        <v>100.0</v>
      </c>
      <c r="AE56" s="40">
        <v>99.0</v>
      </c>
      <c r="AF56" s="40">
        <v>99.0</v>
      </c>
      <c r="AG56" s="39">
        <v>99.0</v>
      </c>
      <c r="AH56" s="39">
        <v>99.0</v>
      </c>
      <c r="AI56" s="41"/>
      <c r="AJ56" s="41"/>
      <c r="AK56" s="11">
        <v>99.0</v>
      </c>
      <c r="AL56" s="11">
        <v>99.0</v>
      </c>
      <c r="AM56" s="42">
        <f t="shared" si="11"/>
        <v>99</v>
      </c>
      <c r="AN56" s="11">
        <v>4.0</v>
      </c>
      <c r="AO56" s="11">
        <v>4.0</v>
      </c>
      <c r="AP56" s="11">
        <v>4.0</v>
      </c>
      <c r="AQ56" s="11">
        <v>4.0</v>
      </c>
      <c r="AR56" s="11">
        <v>4.0</v>
      </c>
      <c r="AS56" s="11">
        <v>4.0</v>
      </c>
      <c r="AT56" s="11">
        <v>3.0</v>
      </c>
      <c r="AU56" s="11">
        <v>3.0</v>
      </c>
      <c r="AV56" s="11">
        <v>4.0</v>
      </c>
      <c r="AW56" s="11">
        <f t="shared" si="12"/>
        <v>34</v>
      </c>
    </row>
    <row r="57" ht="15.75" customHeight="1">
      <c r="A57" s="27" t="s">
        <v>59</v>
      </c>
      <c r="B57" s="27" t="s">
        <v>83</v>
      </c>
      <c r="C57" s="11" t="s">
        <v>66</v>
      </c>
      <c r="D57" s="27" t="s">
        <v>65</v>
      </c>
      <c r="E57" s="27" t="s">
        <v>193</v>
      </c>
      <c r="F57" s="27">
        <v>5.0</v>
      </c>
      <c r="G57" s="27">
        <v>3.0</v>
      </c>
      <c r="H57" s="27">
        <v>3.0</v>
      </c>
      <c r="I57" s="27">
        <v>2.0</v>
      </c>
      <c r="J57" s="31">
        <f t="shared" si="1"/>
        <v>8</v>
      </c>
      <c r="K57" s="27">
        <v>2.0</v>
      </c>
      <c r="L57" s="27">
        <v>2.0</v>
      </c>
      <c r="M57" s="30">
        <f t="shared" si="2"/>
        <v>4</v>
      </c>
      <c r="N57" s="32">
        <f t="shared" si="3"/>
        <v>17</v>
      </c>
      <c r="O57" s="56">
        <v>3.0</v>
      </c>
      <c r="P57" s="57">
        <v>4.0</v>
      </c>
      <c r="Q57" s="57">
        <v>3.0</v>
      </c>
      <c r="R57" s="56">
        <v>3.0</v>
      </c>
      <c r="S57" s="56">
        <v>3.0</v>
      </c>
      <c r="T57" s="56">
        <v>4.0</v>
      </c>
      <c r="U57" s="56">
        <v>3.0</v>
      </c>
      <c r="V57" s="56">
        <v>4.0</v>
      </c>
      <c r="W57" s="37">
        <v>4.0</v>
      </c>
      <c r="X57" s="37">
        <v>4.0</v>
      </c>
      <c r="Y57" s="37">
        <v>3.0</v>
      </c>
      <c r="Z57" s="37">
        <v>3.0</v>
      </c>
      <c r="AA57" s="37">
        <v>3.0</v>
      </c>
      <c r="AB57" s="38">
        <v>3.0</v>
      </c>
      <c r="AC57" s="38">
        <v>4.0</v>
      </c>
      <c r="AD57" s="39">
        <v>3.0</v>
      </c>
      <c r="AE57" s="40">
        <v>3.0</v>
      </c>
      <c r="AF57" s="40">
        <v>3.0</v>
      </c>
      <c r="AG57" s="39">
        <v>4.0</v>
      </c>
      <c r="AH57" s="39">
        <v>3.0</v>
      </c>
      <c r="AI57" s="41">
        <v>3.0</v>
      </c>
      <c r="AJ57" s="41">
        <v>3.0</v>
      </c>
      <c r="AK57" s="11">
        <v>4.0</v>
      </c>
      <c r="AL57" s="11">
        <v>4.0</v>
      </c>
      <c r="AM57" s="42">
        <f t="shared" si="11"/>
        <v>3</v>
      </c>
      <c r="AN57" s="11">
        <v>2.0</v>
      </c>
      <c r="AO57" s="11">
        <v>2.0</v>
      </c>
      <c r="AP57" s="11">
        <v>3.0</v>
      </c>
      <c r="AQ57" s="11">
        <v>3.0</v>
      </c>
      <c r="AR57" s="11">
        <v>3.0</v>
      </c>
      <c r="AS57" s="11">
        <v>3.0</v>
      </c>
      <c r="AT57" s="11">
        <v>3.0</v>
      </c>
      <c r="AU57" s="11">
        <v>2.0</v>
      </c>
      <c r="AV57" s="11">
        <v>2.0</v>
      </c>
      <c r="AW57" s="11">
        <f t="shared" si="12"/>
        <v>23</v>
      </c>
    </row>
    <row r="58" ht="15.75" customHeight="1">
      <c r="A58" s="27" t="s">
        <v>59</v>
      </c>
      <c r="B58" s="27" t="s">
        <v>194</v>
      </c>
      <c r="C58" s="11" t="s">
        <v>66</v>
      </c>
      <c r="D58" s="27" t="s">
        <v>65</v>
      </c>
      <c r="E58" s="27" t="s">
        <v>195</v>
      </c>
      <c r="F58" s="27">
        <v>5.0</v>
      </c>
      <c r="G58" s="27">
        <v>4.0</v>
      </c>
      <c r="H58" s="27">
        <v>3.0</v>
      </c>
      <c r="I58" s="27">
        <v>2.0</v>
      </c>
      <c r="J58" s="31">
        <f t="shared" si="1"/>
        <v>9</v>
      </c>
      <c r="K58" s="27">
        <v>2.0</v>
      </c>
      <c r="L58" s="27">
        <v>2.0</v>
      </c>
      <c r="M58" s="30">
        <f t="shared" si="2"/>
        <v>4</v>
      </c>
      <c r="N58" s="32">
        <f t="shared" si="3"/>
        <v>18</v>
      </c>
      <c r="O58" s="56">
        <v>95.0</v>
      </c>
      <c r="P58" s="57">
        <v>90.0</v>
      </c>
      <c r="Q58" s="57">
        <v>88.0</v>
      </c>
      <c r="R58" s="56">
        <v>92.0</v>
      </c>
      <c r="S58" s="56">
        <v>92.0</v>
      </c>
      <c r="T58" s="56">
        <v>87.0</v>
      </c>
      <c r="U58" s="56">
        <v>88.0</v>
      </c>
      <c r="V58" s="56">
        <v>86.0</v>
      </c>
      <c r="W58" s="37">
        <v>90.0</v>
      </c>
      <c r="X58" s="37">
        <v>86.0</v>
      </c>
      <c r="Y58" s="37">
        <v>88.0</v>
      </c>
      <c r="Z58" s="37">
        <v>86.0</v>
      </c>
      <c r="AA58" s="37">
        <v>87.0</v>
      </c>
      <c r="AB58" s="38">
        <v>87.0</v>
      </c>
      <c r="AC58" s="38">
        <v>86.0</v>
      </c>
      <c r="AD58" s="39">
        <v>92.0</v>
      </c>
      <c r="AE58" s="40">
        <v>86.0</v>
      </c>
      <c r="AF58" s="40">
        <v>89.0</v>
      </c>
      <c r="AG58" s="39">
        <v>88.0</v>
      </c>
      <c r="AH58" s="39">
        <v>86.0</v>
      </c>
      <c r="AI58" s="41">
        <v>86.0</v>
      </c>
      <c r="AJ58" s="41">
        <v>87.0</v>
      </c>
      <c r="AK58" s="11">
        <v>86.0</v>
      </c>
      <c r="AL58" s="11">
        <v>89.0</v>
      </c>
      <c r="AM58" s="64">
        <v>0.88</v>
      </c>
      <c r="AN58" s="11">
        <v>4.0</v>
      </c>
      <c r="AO58" s="11">
        <v>4.0</v>
      </c>
      <c r="AP58" s="11">
        <v>3.0</v>
      </c>
      <c r="AQ58" s="11">
        <v>3.0</v>
      </c>
      <c r="AR58" s="11">
        <v>3.0</v>
      </c>
      <c r="AS58" s="11">
        <v>3.0</v>
      </c>
      <c r="AT58" s="11">
        <v>3.0</v>
      </c>
      <c r="AU58" s="11">
        <v>3.0</v>
      </c>
      <c r="AV58" s="11">
        <v>3.0</v>
      </c>
      <c r="AW58" s="11">
        <f t="shared" si="12"/>
        <v>29</v>
      </c>
    </row>
    <row r="59" ht="15.75" customHeight="1">
      <c r="A59" s="27" t="s">
        <v>59</v>
      </c>
      <c r="B59" s="27" t="s">
        <v>196</v>
      </c>
      <c r="C59" s="11" t="s">
        <v>66</v>
      </c>
      <c r="D59" s="27" t="s">
        <v>65</v>
      </c>
      <c r="E59" s="27" t="s">
        <v>197</v>
      </c>
      <c r="F59" s="27">
        <v>5.0</v>
      </c>
      <c r="G59" s="27">
        <v>5.0</v>
      </c>
      <c r="H59" s="27">
        <v>3.0</v>
      </c>
      <c r="I59" s="27">
        <v>2.0</v>
      </c>
      <c r="J59" s="31">
        <f t="shared" si="1"/>
        <v>10</v>
      </c>
      <c r="K59" s="27">
        <v>2.0</v>
      </c>
      <c r="L59" s="27">
        <v>2.0</v>
      </c>
      <c r="M59" s="30">
        <f t="shared" si="2"/>
        <v>4</v>
      </c>
      <c r="N59" s="32">
        <f t="shared" si="3"/>
        <v>19</v>
      </c>
      <c r="O59" s="56">
        <v>97.0</v>
      </c>
      <c r="P59" s="57">
        <v>97.0</v>
      </c>
      <c r="Q59" s="57">
        <v>97.0</v>
      </c>
      <c r="R59" s="56">
        <v>97.0</v>
      </c>
      <c r="S59" s="56">
        <v>97.0</v>
      </c>
      <c r="T59" s="56">
        <v>97.0</v>
      </c>
      <c r="U59" s="56">
        <v>97.0</v>
      </c>
      <c r="V59" s="56">
        <v>97.0</v>
      </c>
      <c r="W59" s="37">
        <v>97.0</v>
      </c>
      <c r="X59" s="37">
        <v>97.0</v>
      </c>
      <c r="Y59" s="37">
        <v>97.0</v>
      </c>
      <c r="Z59" s="37">
        <v>97.0</v>
      </c>
      <c r="AA59" s="37">
        <v>97.0</v>
      </c>
      <c r="AB59" s="38">
        <v>97.0</v>
      </c>
      <c r="AC59" s="38">
        <v>97.0</v>
      </c>
      <c r="AD59" s="39">
        <v>97.0</v>
      </c>
      <c r="AE59" s="40">
        <v>97.0</v>
      </c>
      <c r="AF59" s="40">
        <v>97.0</v>
      </c>
      <c r="AG59" s="39">
        <v>97.0</v>
      </c>
      <c r="AH59" s="39">
        <v>97.0</v>
      </c>
      <c r="AI59" s="41">
        <v>100.0</v>
      </c>
      <c r="AJ59" s="41">
        <v>100.0</v>
      </c>
      <c r="AK59" s="11">
        <v>97.0</v>
      </c>
      <c r="AL59" s="11">
        <v>97.0</v>
      </c>
      <c r="AM59" s="42">
        <v>97.0</v>
      </c>
      <c r="AN59" s="11">
        <v>4.0</v>
      </c>
      <c r="AO59" s="11">
        <v>4.0</v>
      </c>
      <c r="AP59" s="11">
        <v>4.0</v>
      </c>
      <c r="AQ59" s="11">
        <v>4.0</v>
      </c>
      <c r="AR59" s="11">
        <v>4.0</v>
      </c>
      <c r="AS59" s="11">
        <v>4.0</v>
      </c>
      <c r="AT59" s="11">
        <v>4.0</v>
      </c>
      <c r="AU59" s="11">
        <v>4.0</v>
      </c>
      <c r="AV59" s="11">
        <v>4.0</v>
      </c>
      <c r="AW59" s="11">
        <f t="shared" si="12"/>
        <v>36</v>
      </c>
    </row>
    <row r="60" ht="15.75" customHeight="1">
      <c r="A60" s="27" t="s">
        <v>59</v>
      </c>
      <c r="B60" s="27" t="s">
        <v>198</v>
      </c>
      <c r="C60" s="11" t="s">
        <v>66</v>
      </c>
      <c r="D60" s="27" t="s">
        <v>65</v>
      </c>
      <c r="E60" s="27" t="s">
        <v>199</v>
      </c>
      <c r="F60" s="27">
        <v>5.0</v>
      </c>
      <c r="G60" s="27">
        <v>4.0</v>
      </c>
      <c r="H60" s="27">
        <v>3.0</v>
      </c>
      <c r="I60" s="27">
        <v>2.0</v>
      </c>
      <c r="J60" s="31">
        <f t="shared" si="1"/>
        <v>9</v>
      </c>
      <c r="K60" s="27">
        <v>2.0</v>
      </c>
      <c r="L60" s="27">
        <v>2.0</v>
      </c>
      <c r="M60" s="30">
        <f t="shared" si="2"/>
        <v>4</v>
      </c>
      <c r="N60" s="32">
        <f t="shared" si="3"/>
        <v>18</v>
      </c>
      <c r="O60" s="56">
        <v>91.0</v>
      </c>
      <c r="P60" s="57">
        <v>92.0</v>
      </c>
      <c r="Q60" s="57">
        <v>90.0</v>
      </c>
      <c r="R60" s="56">
        <v>92.0</v>
      </c>
      <c r="S60" s="56">
        <v>95.0</v>
      </c>
      <c r="T60" s="56">
        <v>92.0</v>
      </c>
      <c r="U60" s="56">
        <v>95.0</v>
      </c>
      <c r="V60" s="56">
        <v>93.0</v>
      </c>
      <c r="W60" s="37">
        <v>95.0</v>
      </c>
      <c r="X60" s="37">
        <v>92.0</v>
      </c>
      <c r="Y60" s="37">
        <v>94.0</v>
      </c>
      <c r="Z60" s="37">
        <v>92.0</v>
      </c>
      <c r="AA60" s="37">
        <v>94.0</v>
      </c>
      <c r="AB60" s="38">
        <v>94.0</v>
      </c>
      <c r="AC60" s="38">
        <v>93.0</v>
      </c>
      <c r="AD60" s="39">
        <v>93.0</v>
      </c>
      <c r="AE60" s="40">
        <v>90.0</v>
      </c>
      <c r="AF60" s="40">
        <v>90.0</v>
      </c>
      <c r="AG60" s="39">
        <v>95.0</v>
      </c>
      <c r="AH60" s="39">
        <v>93.0</v>
      </c>
      <c r="AI60" s="41">
        <v>92.0</v>
      </c>
      <c r="AJ60" s="41">
        <v>93.0</v>
      </c>
      <c r="AK60" s="11">
        <v>95.0</v>
      </c>
      <c r="AL60" s="11">
        <v>95.0</v>
      </c>
      <c r="AM60" s="42">
        <f>ROUND(AVERAGE(O60:AL60),0)</f>
        <v>93</v>
      </c>
      <c r="AN60" s="11">
        <v>3.0</v>
      </c>
      <c r="AO60" s="11">
        <v>4.0</v>
      </c>
      <c r="AP60" s="11">
        <v>4.0</v>
      </c>
      <c r="AQ60" s="11">
        <v>4.0</v>
      </c>
      <c r="AR60" s="11">
        <v>4.0</v>
      </c>
      <c r="AS60" s="11">
        <v>4.0</v>
      </c>
      <c r="AT60" s="11">
        <v>4.0</v>
      </c>
      <c r="AU60" s="11">
        <v>4.0</v>
      </c>
      <c r="AV60" s="11">
        <v>4.0</v>
      </c>
      <c r="AW60" s="11">
        <f t="shared" si="12"/>
        <v>35</v>
      </c>
    </row>
    <row r="61" ht="15.75" customHeight="1">
      <c r="A61" s="27" t="s">
        <v>59</v>
      </c>
      <c r="B61" s="27" t="s">
        <v>169</v>
      </c>
      <c r="C61" s="11" t="s">
        <v>66</v>
      </c>
      <c r="D61" s="27" t="s">
        <v>65</v>
      </c>
      <c r="E61" s="27" t="s">
        <v>200</v>
      </c>
      <c r="F61" s="27">
        <v>5.0</v>
      </c>
      <c r="G61" s="27">
        <v>4.0</v>
      </c>
      <c r="H61" s="27">
        <v>3.0</v>
      </c>
      <c r="I61" s="27">
        <v>2.0</v>
      </c>
      <c r="J61" s="31">
        <f t="shared" si="1"/>
        <v>9</v>
      </c>
      <c r="K61" s="27">
        <v>2.0</v>
      </c>
      <c r="L61" s="27">
        <v>2.0</v>
      </c>
      <c r="M61" s="30">
        <f t="shared" si="2"/>
        <v>4</v>
      </c>
      <c r="N61" s="32">
        <f t="shared" si="3"/>
        <v>18</v>
      </c>
      <c r="O61" s="56">
        <v>96.0</v>
      </c>
      <c r="P61" s="57">
        <v>95.0</v>
      </c>
      <c r="Q61" s="57">
        <v>97.0</v>
      </c>
      <c r="R61" s="56">
        <v>95.0</v>
      </c>
      <c r="S61" s="56">
        <v>97.0</v>
      </c>
      <c r="T61" s="56">
        <v>96.0</v>
      </c>
      <c r="U61" s="56">
        <v>97.0</v>
      </c>
      <c r="V61" s="56">
        <v>97.0</v>
      </c>
      <c r="W61" s="37">
        <v>96.0</v>
      </c>
      <c r="X61" s="37">
        <v>96.0</v>
      </c>
      <c r="Y61" s="37">
        <v>97.0</v>
      </c>
      <c r="Z61" s="37">
        <v>96.0</v>
      </c>
      <c r="AA61" s="37">
        <v>96.0</v>
      </c>
      <c r="AB61" s="38">
        <v>97.0</v>
      </c>
      <c r="AC61" s="38">
        <v>97.0</v>
      </c>
      <c r="AD61" s="39">
        <v>97.0</v>
      </c>
      <c r="AE61" s="40">
        <v>97.0</v>
      </c>
      <c r="AF61" s="40">
        <v>95.0</v>
      </c>
      <c r="AG61" s="39">
        <v>95.0</v>
      </c>
      <c r="AH61" s="39">
        <v>97.0</v>
      </c>
      <c r="AI61" s="41">
        <v>95.0</v>
      </c>
      <c r="AJ61" s="41">
        <v>97.0</v>
      </c>
      <c r="AK61" s="11">
        <v>96.0</v>
      </c>
      <c r="AL61" s="11">
        <v>95.0</v>
      </c>
      <c r="AM61" s="64">
        <v>0.96</v>
      </c>
      <c r="AN61" s="11">
        <v>3.0</v>
      </c>
      <c r="AO61" s="11">
        <v>3.0</v>
      </c>
      <c r="AP61" s="11">
        <v>4.0</v>
      </c>
      <c r="AQ61" s="11">
        <v>3.0</v>
      </c>
      <c r="AR61" s="11">
        <v>4.0</v>
      </c>
      <c r="AS61" s="11">
        <v>4.0</v>
      </c>
      <c r="AT61" s="11">
        <v>3.0</v>
      </c>
      <c r="AU61" s="11">
        <v>4.0</v>
      </c>
      <c r="AV61" s="11">
        <v>3.0</v>
      </c>
      <c r="AW61" s="11">
        <f t="shared" si="12"/>
        <v>31</v>
      </c>
    </row>
    <row r="62" ht="15.75" customHeight="1">
      <c r="A62" s="27" t="s">
        <v>59</v>
      </c>
      <c r="B62" s="27" t="s">
        <v>201</v>
      </c>
      <c r="C62" s="11" t="s">
        <v>62</v>
      </c>
      <c r="D62" s="27" t="s">
        <v>65</v>
      </c>
      <c r="E62" s="27" t="s">
        <v>202</v>
      </c>
      <c r="F62" s="27">
        <v>5.0</v>
      </c>
      <c r="G62" s="27">
        <v>5.0</v>
      </c>
      <c r="H62" s="27">
        <v>3.0</v>
      </c>
      <c r="I62" s="27">
        <v>2.0</v>
      </c>
      <c r="J62" s="31">
        <f t="shared" si="1"/>
        <v>10</v>
      </c>
      <c r="K62" s="27">
        <v>2.0</v>
      </c>
      <c r="L62" s="27">
        <v>2.0</v>
      </c>
      <c r="M62" s="30">
        <f t="shared" si="2"/>
        <v>4</v>
      </c>
      <c r="N62" s="32">
        <f t="shared" si="3"/>
        <v>19</v>
      </c>
      <c r="O62" s="56">
        <v>95.0</v>
      </c>
      <c r="P62" s="57">
        <v>98.0</v>
      </c>
      <c r="Q62" s="57">
        <v>100.0</v>
      </c>
      <c r="R62" s="56">
        <v>100.0</v>
      </c>
      <c r="S62" s="56">
        <v>100.0</v>
      </c>
      <c r="T62" s="56">
        <v>98.0</v>
      </c>
      <c r="U62" s="56">
        <v>98.0</v>
      </c>
      <c r="V62" s="56">
        <v>95.0</v>
      </c>
      <c r="W62" s="37">
        <v>89.0</v>
      </c>
      <c r="X62" s="37">
        <v>89.0</v>
      </c>
      <c r="Y62" s="37">
        <v>95.0</v>
      </c>
      <c r="Z62" s="37">
        <v>98.0</v>
      </c>
      <c r="AA62" s="37">
        <v>98.0</v>
      </c>
      <c r="AB62" s="38">
        <v>98.0</v>
      </c>
      <c r="AC62" s="38">
        <v>100.0</v>
      </c>
      <c r="AD62" s="39">
        <v>98.0</v>
      </c>
      <c r="AE62" s="40">
        <v>95.0</v>
      </c>
      <c r="AF62" s="40">
        <v>91.0</v>
      </c>
      <c r="AG62" s="39">
        <v>98.0</v>
      </c>
      <c r="AH62" s="39">
        <v>90.0</v>
      </c>
      <c r="AI62" s="41">
        <v>100.0</v>
      </c>
      <c r="AJ62" s="41">
        <v>97.0</v>
      </c>
      <c r="AK62" s="11">
        <v>100.0</v>
      </c>
      <c r="AL62" s="11">
        <v>100.0</v>
      </c>
      <c r="AM62" s="42">
        <f>ROUND(AVERAGE(O62:AL62),0)</f>
        <v>97</v>
      </c>
      <c r="AN62" s="11">
        <v>4.0</v>
      </c>
      <c r="AO62" s="11">
        <v>4.0</v>
      </c>
      <c r="AP62" s="11">
        <v>3.0</v>
      </c>
      <c r="AQ62" s="11">
        <v>4.0</v>
      </c>
      <c r="AR62" s="11">
        <v>4.0</v>
      </c>
      <c r="AS62" s="11">
        <v>4.0</v>
      </c>
      <c r="AT62" s="11">
        <v>4.0</v>
      </c>
      <c r="AU62" s="11">
        <v>4.0</v>
      </c>
      <c r="AV62" s="11">
        <v>3.0</v>
      </c>
      <c r="AW62" s="11">
        <f t="shared" si="12"/>
        <v>34</v>
      </c>
    </row>
    <row r="63" ht="15.75" customHeight="1">
      <c r="A63" s="27" t="s">
        <v>59</v>
      </c>
      <c r="B63" s="27" t="s">
        <v>203</v>
      </c>
      <c r="C63" s="11" t="s">
        <v>66</v>
      </c>
      <c r="D63" s="27" t="s">
        <v>65</v>
      </c>
      <c r="E63" s="27" t="s">
        <v>204</v>
      </c>
      <c r="F63" s="27">
        <v>5.0</v>
      </c>
      <c r="G63" s="27">
        <v>4.0</v>
      </c>
      <c r="H63" s="27">
        <v>3.0</v>
      </c>
      <c r="I63" s="27">
        <v>2.0</v>
      </c>
      <c r="J63" s="31">
        <f t="shared" si="1"/>
        <v>9</v>
      </c>
      <c r="K63" s="27">
        <v>2.0</v>
      </c>
      <c r="L63" s="27">
        <v>2.0</v>
      </c>
      <c r="M63" s="30">
        <f t="shared" si="2"/>
        <v>4</v>
      </c>
      <c r="N63" s="32">
        <f t="shared" si="3"/>
        <v>18</v>
      </c>
      <c r="O63" s="56">
        <v>100.0</v>
      </c>
      <c r="P63" s="57">
        <v>100.0</v>
      </c>
      <c r="Q63" s="57">
        <v>100.0</v>
      </c>
      <c r="R63" s="56">
        <v>100.0</v>
      </c>
      <c r="S63" s="56">
        <v>100.0</v>
      </c>
      <c r="T63" s="56">
        <v>100.0</v>
      </c>
      <c r="U63" s="56">
        <v>100.0</v>
      </c>
      <c r="V63" s="56">
        <v>100.0</v>
      </c>
      <c r="W63" s="37">
        <v>100.0</v>
      </c>
      <c r="X63" s="37">
        <v>100.0</v>
      </c>
      <c r="Y63" s="37">
        <v>100.0</v>
      </c>
      <c r="Z63" s="37">
        <v>98.0</v>
      </c>
      <c r="AA63" s="37">
        <v>100.0</v>
      </c>
      <c r="AB63" s="38">
        <v>97.0</v>
      </c>
      <c r="AC63" s="38">
        <v>100.0</v>
      </c>
      <c r="AD63" s="39">
        <v>100.0</v>
      </c>
      <c r="AE63" s="40">
        <v>100.0</v>
      </c>
      <c r="AF63" s="40">
        <v>98.0</v>
      </c>
      <c r="AG63" s="39">
        <v>98.0</v>
      </c>
      <c r="AH63" s="39">
        <v>90.0</v>
      </c>
      <c r="AI63" s="41">
        <v>97.0</v>
      </c>
      <c r="AJ63" s="41">
        <v>100.0</v>
      </c>
      <c r="AK63" s="11">
        <v>98.0</v>
      </c>
      <c r="AL63" s="11">
        <v>97.0</v>
      </c>
      <c r="AM63" s="65">
        <v>0.988</v>
      </c>
      <c r="AN63" s="11">
        <v>4.0</v>
      </c>
      <c r="AO63" s="11">
        <v>4.0</v>
      </c>
      <c r="AP63" s="11">
        <v>4.0</v>
      </c>
      <c r="AQ63" s="11">
        <v>4.0</v>
      </c>
      <c r="AR63" s="11">
        <v>3.0</v>
      </c>
      <c r="AS63" s="11">
        <v>4.0</v>
      </c>
      <c r="AT63" s="11">
        <v>3.0</v>
      </c>
      <c r="AU63" s="11">
        <v>4.0</v>
      </c>
      <c r="AV63" s="11">
        <v>4.0</v>
      </c>
      <c r="AW63" s="11">
        <f t="shared" si="12"/>
        <v>34</v>
      </c>
    </row>
    <row r="64" ht="15.75" customHeight="1">
      <c r="A64" s="27" t="s">
        <v>59</v>
      </c>
      <c r="B64" s="27" t="s">
        <v>205</v>
      </c>
      <c r="C64" s="11" t="s">
        <v>66</v>
      </c>
      <c r="D64" s="27" t="s">
        <v>65</v>
      </c>
      <c r="E64" s="27" t="s">
        <v>206</v>
      </c>
      <c r="F64" s="27">
        <v>5.0</v>
      </c>
      <c r="G64" s="27">
        <v>4.0</v>
      </c>
      <c r="H64" s="27">
        <v>3.0</v>
      </c>
      <c r="I64" s="27">
        <v>2.0</v>
      </c>
      <c r="J64" s="31">
        <f t="shared" si="1"/>
        <v>9</v>
      </c>
      <c r="K64" s="27">
        <v>2.0</v>
      </c>
      <c r="L64" s="27">
        <v>2.0</v>
      </c>
      <c r="M64" s="30">
        <f t="shared" si="2"/>
        <v>4</v>
      </c>
      <c r="N64" s="32">
        <f t="shared" si="3"/>
        <v>18</v>
      </c>
      <c r="O64" s="56">
        <v>100.0</v>
      </c>
      <c r="P64" s="57">
        <v>98.0</v>
      </c>
      <c r="Q64" s="57">
        <v>100.0</v>
      </c>
      <c r="R64" s="56">
        <v>98.0</v>
      </c>
      <c r="S64" s="56">
        <v>96.0</v>
      </c>
      <c r="T64" s="56">
        <v>100.0</v>
      </c>
      <c r="U64" s="56">
        <v>100.0</v>
      </c>
      <c r="V64" s="56">
        <v>100.0</v>
      </c>
      <c r="W64" s="37">
        <v>100.0</v>
      </c>
      <c r="X64" s="37">
        <v>100.0</v>
      </c>
      <c r="Y64" s="37">
        <v>96.0</v>
      </c>
      <c r="Z64" s="37">
        <v>96.0</v>
      </c>
      <c r="AA64" s="37">
        <v>100.0</v>
      </c>
      <c r="AB64" s="38">
        <v>100.0</v>
      </c>
      <c r="AC64" s="38">
        <v>98.0</v>
      </c>
      <c r="AD64" s="39">
        <v>98.0</v>
      </c>
      <c r="AE64" s="40">
        <v>98.0</v>
      </c>
      <c r="AF64" s="40">
        <v>96.0</v>
      </c>
      <c r="AG64" s="39">
        <v>98.0</v>
      </c>
      <c r="AH64" s="39">
        <v>100.0</v>
      </c>
      <c r="AI64" s="41">
        <v>96.0</v>
      </c>
      <c r="AJ64" s="41">
        <v>100.0</v>
      </c>
      <c r="AK64" s="11">
        <v>100.0</v>
      </c>
      <c r="AL64" s="11">
        <v>100.0</v>
      </c>
      <c r="AM64" s="64">
        <v>0.98</v>
      </c>
      <c r="AN64" s="11">
        <v>4.0</v>
      </c>
      <c r="AO64" s="11">
        <v>4.0</v>
      </c>
      <c r="AP64" s="11">
        <v>4.0</v>
      </c>
      <c r="AQ64" s="11">
        <v>4.0</v>
      </c>
      <c r="AR64" s="11">
        <v>4.0</v>
      </c>
      <c r="AS64" s="11">
        <v>4.0</v>
      </c>
      <c r="AT64" s="11">
        <v>4.0</v>
      </c>
      <c r="AU64" s="11">
        <v>4.0</v>
      </c>
      <c r="AV64" s="11">
        <v>4.0</v>
      </c>
      <c r="AW64" s="11">
        <f t="shared" si="12"/>
        <v>36</v>
      </c>
    </row>
    <row r="65" ht="15.75" customHeight="1">
      <c r="A65" s="27" t="s">
        <v>59</v>
      </c>
      <c r="B65" s="27" t="s">
        <v>208</v>
      </c>
      <c r="C65" s="11" t="s">
        <v>66</v>
      </c>
      <c r="D65" s="27" t="s">
        <v>65</v>
      </c>
      <c r="E65" s="27" t="s">
        <v>210</v>
      </c>
      <c r="F65" s="27">
        <v>5.0</v>
      </c>
      <c r="G65" s="27">
        <v>5.0</v>
      </c>
      <c r="H65" s="27">
        <v>3.0</v>
      </c>
      <c r="I65" s="27">
        <v>2.0</v>
      </c>
      <c r="J65" s="31">
        <f t="shared" si="1"/>
        <v>10</v>
      </c>
      <c r="K65" s="27">
        <v>2.0</v>
      </c>
      <c r="L65" s="27">
        <v>2.0</v>
      </c>
      <c r="M65" s="30">
        <f t="shared" si="2"/>
        <v>4</v>
      </c>
      <c r="N65" s="32">
        <f t="shared" si="3"/>
        <v>19</v>
      </c>
      <c r="O65" s="56">
        <v>93.0</v>
      </c>
      <c r="P65" s="57">
        <v>98.0</v>
      </c>
      <c r="Q65" s="57">
        <v>99.0</v>
      </c>
      <c r="R65" s="56">
        <v>100.0</v>
      </c>
      <c r="S65" s="56">
        <v>95.0</v>
      </c>
      <c r="T65" s="56">
        <v>95.0</v>
      </c>
      <c r="U65" s="56">
        <v>92.0</v>
      </c>
      <c r="V65" s="56">
        <v>96.0</v>
      </c>
      <c r="W65" s="37">
        <v>100.0</v>
      </c>
      <c r="X65" s="37">
        <v>95.0</v>
      </c>
      <c r="Y65" s="37">
        <v>95.0</v>
      </c>
      <c r="Z65" s="37">
        <v>96.0</v>
      </c>
      <c r="AA65" s="37">
        <v>98.0</v>
      </c>
      <c r="AB65" s="38">
        <v>95.0</v>
      </c>
      <c r="AC65" s="38">
        <v>98.0</v>
      </c>
      <c r="AD65" s="39">
        <v>93.0</v>
      </c>
      <c r="AE65" s="40">
        <v>95.0</v>
      </c>
      <c r="AF65" s="40">
        <v>93.0</v>
      </c>
      <c r="AG65" s="39">
        <v>95.0</v>
      </c>
      <c r="AH65" s="39">
        <v>90.0</v>
      </c>
      <c r="AI65" s="41">
        <v>92.0</v>
      </c>
      <c r="AJ65" s="41">
        <v>97.0</v>
      </c>
      <c r="AK65" s="11">
        <v>90.0</v>
      </c>
      <c r="AL65" s="11">
        <v>99.0</v>
      </c>
      <c r="AM65" s="64">
        <v>0.95</v>
      </c>
      <c r="AN65" s="11">
        <v>3.0</v>
      </c>
      <c r="AO65" s="11">
        <v>3.0</v>
      </c>
      <c r="AP65" s="11">
        <v>3.0</v>
      </c>
      <c r="AQ65" s="11">
        <v>2.0</v>
      </c>
      <c r="AR65" s="11">
        <v>2.0</v>
      </c>
      <c r="AS65" s="11">
        <v>3.0</v>
      </c>
      <c r="AT65" s="11">
        <v>2.0</v>
      </c>
      <c r="AU65" s="11">
        <v>2.0</v>
      </c>
      <c r="AV65" s="11">
        <v>2.0</v>
      </c>
      <c r="AW65" s="11">
        <f t="shared" si="12"/>
        <v>22</v>
      </c>
    </row>
    <row r="66" ht="15.75" customHeight="1">
      <c r="A66" s="27" t="s">
        <v>59</v>
      </c>
      <c r="B66" s="27" t="s">
        <v>205</v>
      </c>
      <c r="C66" s="11" t="s">
        <v>66</v>
      </c>
      <c r="D66" s="27" t="s">
        <v>65</v>
      </c>
      <c r="E66" s="27" t="s">
        <v>212</v>
      </c>
      <c r="F66" s="27">
        <v>5.0</v>
      </c>
      <c r="G66" s="27">
        <v>4.0</v>
      </c>
      <c r="H66" s="27">
        <v>2.0</v>
      </c>
      <c r="I66" s="27">
        <v>2.0</v>
      </c>
      <c r="J66" s="31">
        <f t="shared" si="1"/>
        <v>8</v>
      </c>
      <c r="K66" s="27">
        <v>1.0</v>
      </c>
      <c r="L66" s="27">
        <v>3.0</v>
      </c>
      <c r="M66" s="30">
        <f t="shared" si="2"/>
        <v>4</v>
      </c>
      <c r="N66" s="32">
        <f t="shared" si="3"/>
        <v>17</v>
      </c>
      <c r="O66" s="56">
        <v>100.0</v>
      </c>
      <c r="P66" s="57">
        <v>96.0</v>
      </c>
      <c r="Q66" s="57">
        <v>96.0</v>
      </c>
      <c r="R66" s="56">
        <v>96.0</v>
      </c>
      <c r="S66" s="56">
        <v>100.0</v>
      </c>
      <c r="T66" s="56">
        <v>100.0</v>
      </c>
      <c r="U66" s="56">
        <v>98.0</v>
      </c>
      <c r="V66" s="56">
        <v>98.0</v>
      </c>
      <c r="W66" s="37">
        <v>100.0</v>
      </c>
      <c r="X66" s="37">
        <v>100.0</v>
      </c>
      <c r="Y66" s="37">
        <v>100.0</v>
      </c>
      <c r="Z66" s="37">
        <v>100.0</v>
      </c>
      <c r="AA66" s="37">
        <v>100.0</v>
      </c>
      <c r="AB66" s="38">
        <v>100.0</v>
      </c>
      <c r="AC66" s="38">
        <v>96.0</v>
      </c>
      <c r="AD66" s="39">
        <v>100.0</v>
      </c>
      <c r="AE66" s="40">
        <v>100.0</v>
      </c>
      <c r="AF66" s="40">
        <v>96.0</v>
      </c>
      <c r="AG66" s="39">
        <v>100.0</v>
      </c>
      <c r="AH66" s="39">
        <v>96.0</v>
      </c>
      <c r="AI66" s="41">
        <v>100.0</v>
      </c>
      <c r="AJ66" s="41">
        <v>98.0</v>
      </c>
      <c r="AK66" s="11">
        <v>100.0</v>
      </c>
      <c r="AL66" s="11">
        <v>100.0</v>
      </c>
      <c r="AM66" s="42">
        <f>AVERAGE(O66:AL66)</f>
        <v>98.75</v>
      </c>
      <c r="AN66" s="11">
        <v>4.0</v>
      </c>
      <c r="AO66" s="11">
        <v>4.0</v>
      </c>
      <c r="AP66" s="11">
        <v>4.0</v>
      </c>
      <c r="AQ66" s="11">
        <v>4.0</v>
      </c>
      <c r="AR66" s="11">
        <v>4.0</v>
      </c>
      <c r="AS66" s="11">
        <v>4.0</v>
      </c>
      <c r="AT66" s="11">
        <v>4.0</v>
      </c>
      <c r="AU66" s="11">
        <v>3.0</v>
      </c>
      <c r="AV66" s="11">
        <v>4.0</v>
      </c>
      <c r="AW66" s="11">
        <f t="shared" si="12"/>
        <v>35</v>
      </c>
    </row>
    <row r="67" ht="15.75" customHeight="1">
      <c r="A67" s="27" t="s">
        <v>59</v>
      </c>
      <c r="B67" s="27" t="s">
        <v>205</v>
      </c>
      <c r="C67" s="11" t="s">
        <v>66</v>
      </c>
      <c r="D67" s="27" t="s">
        <v>65</v>
      </c>
      <c r="E67" s="27" t="s">
        <v>213</v>
      </c>
      <c r="F67" s="27">
        <v>5.0</v>
      </c>
      <c r="G67" s="27">
        <v>4.0</v>
      </c>
      <c r="H67" s="27">
        <v>3.0</v>
      </c>
      <c r="I67" s="27">
        <v>2.0</v>
      </c>
      <c r="J67" s="31">
        <f t="shared" si="1"/>
        <v>9</v>
      </c>
      <c r="K67" s="27">
        <v>2.0</v>
      </c>
      <c r="L67" s="27">
        <v>2.0</v>
      </c>
      <c r="M67" s="30">
        <f t="shared" si="2"/>
        <v>4</v>
      </c>
      <c r="N67" s="32">
        <f t="shared" si="3"/>
        <v>18</v>
      </c>
      <c r="O67" s="56">
        <v>95.0</v>
      </c>
      <c r="P67" s="57">
        <v>96.0</v>
      </c>
      <c r="Q67" s="57">
        <v>96.0</v>
      </c>
      <c r="R67" s="56">
        <v>97.0</v>
      </c>
      <c r="S67" s="56">
        <v>95.0</v>
      </c>
      <c r="T67" s="56">
        <v>98.0</v>
      </c>
      <c r="U67" s="56">
        <v>98.0</v>
      </c>
      <c r="V67" s="56">
        <v>97.0</v>
      </c>
      <c r="W67" s="37">
        <v>95.0</v>
      </c>
      <c r="X67" s="37">
        <v>97.0</v>
      </c>
      <c r="Y67" s="37">
        <v>97.0</v>
      </c>
      <c r="Z67" s="37">
        <v>97.0</v>
      </c>
      <c r="AA67" s="37">
        <v>96.0</v>
      </c>
      <c r="AB67" s="38">
        <v>99.0</v>
      </c>
      <c r="AC67" s="38">
        <v>98.0</v>
      </c>
      <c r="AD67" s="39">
        <v>98.0</v>
      </c>
      <c r="AE67" s="40">
        <v>97.0</v>
      </c>
      <c r="AF67" s="40">
        <v>98.0</v>
      </c>
      <c r="AG67" s="39">
        <v>98.0</v>
      </c>
      <c r="AH67" s="39">
        <v>98.0</v>
      </c>
      <c r="AI67" s="41">
        <v>97.0</v>
      </c>
      <c r="AJ67" s="41">
        <v>97.0</v>
      </c>
      <c r="AK67" s="11">
        <v>98.0</v>
      </c>
      <c r="AL67" s="11">
        <v>99.0</v>
      </c>
      <c r="AM67" s="64">
        <v>0.97</v>
      </c>
      <c r="AN67" s="11">
        <v>4.0</v>
      </c>
      <c r="AO67" s="11">
        <v>4.0</v>
      </c>
      <c r="AP67" s="11">
        <v>4.0</v>
      </c>
      <c r="AQ67" s="11">
        <v>3.0</v>
      </c>
      <c r="AR67" s="11">
        <v>3.0</v>
      </c>
      <c r="AS67" s="11">
        <v>4.0</v>
      </c>
      <c r="AT67" s="11">
        <v>4.0</v>
      </c>
      <c r="AU67" s="11">
        <v>4.0</v>
      </c>
      <c r="AV67" s="11">
        <v>4.0</v>
      </c>
      <c r="AW67" s="11">
        <f t="shared" si="12"/>
        <v>34</v>
      </c>
    </row>
    <row r="68" ht="15.75" customHeight="1">
      <c r="A68" s="27" t="s">
        <v>59</v>
      </c>
      <c r="B68" s="27" t="s">
        <v>73</v>
      </c>
      <c r="C68" s="11" t="s">
        <v>66</v>
      </c>
      <c r="D68" s="27" t="s">
        <v>65</v>
      </c>
      <c r="E68" s="27" t="s">
        <v>214</v>
      </c>
      <c r="F68" s="27">
        <v>5.0</v>
      </c>
      <c r="G68" s="27">
        <v>4.0</v>
      </c>
      <c r="H68" s="27">
        <v>3.0</v>
      </c>
      <c r="I68" s="27">
        <v>2.0</v>
      </c>
      <c r="J68" s="31">
        <f t="shared" si="1"/>
        <v>9</v>
      </c>
      <c r="K68" s="27">
        <v>2.0</v>
      </c>
      <c r="L68" s="27">
        <v>3.0</v>
      </c>
      <c r="M68" s="30">
        <f t="shared" si="2"/>
        <v>5</v>
      </c>
      <c r="N68" s="32">
        <f t="shared" si="3"/>
        <v>19</v>
      </c>
      <c r="O68" s="56">
        <v>95.0</v>
      </c>
      <c r="P68" s="57">
        <v>97.0</v>
      </c>
      <c r="Q68" s="57">
        <v>97.0</v>
      </c>
      <c r="R68" s="56">
        <v>97.0</v>
      </c>
      <c r="S68" s="56">
        <v>97.0</v>
      </c>
      <c r="T68" s="56">
        <v>97.0</v>
      </c>
      <c r="U68" s="56">
        <v>96.0</v>
      </c>
      <c r="V68" s="56">
        <v>97.0</v>
      </c>
      <c r="W68" s="37">
        <v>97.0</v>
      </c>
      <c r="X68" s="37">
        <v>95.0</v>
      </c>
      <c r="Y68" s="37">
        <v>97.0</v>
      </c>
      <c r="Z68" s="37">
        <v>97.0</v>
      </c>
      <c r="AA68" s="37">
        <v>96.0</v>
      </c>
      <c r="AB68" s="38">
        <v>98.0</v>
      </c>
      <c r="AC68" s="38">
        <v>97.0</v>
      </c>
      <c r="AD68" s="39">
        <v>97.0</v>
      </c>
      <c r="AE68" s="40">
        <v>95.0</v>
      </c>
      <c r="AF68" s="40">
        <v>97.0</v>
      </c>
      <c r="AG68" s="39">
        <v>97.0</v>
      </c>
      <c r="AH68" s="39">
        <v>95.0</v>
      </c>
      <c r="AI68" s="41"/>
      <c r="AJ68" s="41"/>
      <c r="AK68" s="11">
        <v>97.0</v>
      </c>
      <c r="AL68" s="11">
        <v>97.0</v>
      </c>
      <c r="AM68" s="42" t="s">
        <v>215</v>
      </c>
      <c r="AN68" s="11">
        <v>4.0</v>
      </c>
      <c r="AO68" s="11">
        <v>4.0</v>
      </c>
      <c r="AP68" s="11">
        <v>4.0</v>
      </c>
      <c r="AQ68" s="11">
        <v>4.0</v>
      </c>
      <c r="AR68" s="11">
        <v>4.0</v>
      </c>
      <c r="AS68" s="11">
        <v>4.0</v>
      </c>
      <c r="AT68" s="11">
        <v>4.0</v>
      </c>
      <c r="AU68" s="11">
        <v>4.0</v>
      </c>
      <c r="AV68" s="11">
        <v>4.0</v>
      </c>
      <c r="AW68" s="11">
        <f t="shared" si="12"/>
        <v>36</v>
      </c>
    </row>
    <row r="69" ht="15.75" customHeight="1">
      <c r="A69" s="27" t="s">
        <v>59</v>
      </c>
      <c r="B69" s="27" t="s">
        <v>138</v>
      </c>
      <c r="C69" s="11" t="s">
        <v>69</v>
      </c>
      <c r="D69" s="27" t="s">
        <v>65</v>
      </c>
      <c r="E69" s="27" t="s">
        <v>216</v>
      </c>
      <c r="F69" s="27">
        <v>5.0</v>
      </c>
      <c r="G69" s="27">
        <v>4.0</v>
      </c>
      <c r="H69" s="27">
        <v>3.0</v>
      </c>
      <c r="I69" s="27">
        <v>2.0</v>
      </c>
      <c r="J69" s="31">
        <f t="shared" si="1"/>
        <v>9</v>
      </c>
      <c r="K69" s="27">
        <v>2.0</v>
      </c>
      <c r="L69" s="27">
        <v>2.0</v>
      </c>
      <c r="M69" s="30">
        <f t="shared" si="2"/>
        <v>4</v>
      </c>
      <c r="N69" s="32">
        <f t="shared" si="3"/>
        <v>18</v>
      </c>
      <c r="O69" s="56">
        <v>97.0</v>
      </c>
      <c r="P69" s="57">
        <v>97.0</v>
      </c>
      <c r="Q69" s="57">
        <v>97.0</v>
      </c>
      <c r="R69" s="56">
        <v>97.0</v>
      </c>
      <c r="S69" s="56">
        <v>97.0</v>
      </c>
      <c r="T69" s="56">
        <v>97.0</v>
      </c>
      <c r="U69" s="56">
        <v>97.0</v>
      </c>
      <c r="V69" s="56">
        <v>97.0</v>
      </c>
      <c r="W69" s="37">
        <v>97.0</v>
      </c>
      <c r="X69" s="37">
        <v>97.0</v>
      </c>
      <c r="Y69" s="37">
        <v>98.0</v>
      </c>
      <c r="Z69" s="37">
        <v>97.0</v>
      </c>
      <c r="AA69" s="37">
        <v>97.0</v>
      </c>
      <c r="AB69" s="38">
        <v>95.0</v>
      </c>
      <c r="AC69" s="38">
        <v>97.0</v>
      </c>
      <c r="AD69" s="39">
        <v>97.0</v>
      </c>
      <c r="AE69" s="40">
        <v>97.0</v>
      </c>
      <c r="AF69" s="40">
        <v>97.0</v>
      </c>
      <c r="AG69" s="39">
        <v>97.0</v>
      </c>
      <c r="AH69" s="39">
        <v>97.0</v>
      </c>
      <c r="AI69" s="41">
        <v>97.0</v>
      </c>
      <c r="AJ69" s="41">
        <v>97.0</v>
      </c>
      <c r="AK69" s="11">
        <v>97.0</v>
      </c>
      <c r="AL69" s="11">
        <v>97.0</v>
      </c>
      <c r="AM69" s="42">
        <f t="shared" ref="AM69:AM74" si="13">ROUND(AVERAGE(O69:AL69),0)</f>
        <v>97</v>
      </c>
      <c r="AN69" s="11">
        <v>4.0</v>
      </c>
      <c r="AO69" s="11">
        <v>4.0</v>
      </c>
      <c r="AP69" s="11">
        <v>4.0</v>
      </c>
      <c r="AQ69" s="11">
        <v>4.0</v>
      </c>
      <c r="AR69" s="11">
        <v>4.0</v>
      </c>
      <c r="AS69" s="11">
        <v>4.0</v>
      </c>
      <c r="AT69" s="11">
        <v>4.0</v>
      </c>
      <c r="AU69" s="11">
        <v>4.0</v>
      </c>
      <c r="AV69" s="11">
        <v>4.0</v>
      </c>
      <c r="AW69" s="11">
        <f t="shared" si="12"/>
        <v>36</v>
      </c>
    </row>
    <row r="70" ht="15.75" customHeight="1">
      <c r="A70" s="27" t="s">
        <v>59</v>
      </c>
      <c r="B70" s="27" t="s">
        <v>73</v>
      </c>
      <c r="C70" s="11" t="s">
        <v>66</v>
      </c>
      <c r="D70" s="27" t="s">
        <v>65</v>
      </c>
      <c r="E70" s="27" t="s">
        <v>217</v>
      </c>
      <c r="F70" s="27">
        <v>5.0</v>
      </c>
      <c r="G70" s="27">
        <v>4.0</v>
      </c>
      <c r="H70" s="27">
        <v>3.0</v>
      </c>
      <c r="I70" s="27">
        <v>1.0</v>
      </c>
      <c r="J70" s="31">
        <f t="shared" si="1"/>
        <v>8</v>
      </c>
      <c r="K70" s="27">
        <v>2.0</v>
      </c>
      <c r="L70" s="27">
        <v>2.0</v>
      </c>
      <c r="M70" s="30">
        <f t="shared" si="2"/>
        <v>4</v>
      </c>
      <c r="N70" s="32">
        <f t="shared" si="3"/>
        <v>17</v>
      </c>
      <c r="O70" s="56">
        <v>97.0</v>
      </c>
      <c r="P70" s="57">
        <v>97.0</v>
      </c>
      <c r="Q70" s="57">
        <v>97.0</v>
      </c>
      <c r="R70" s="56">
        <v>97.0</v>
      </c>
      <c r="S70" s="56">
        <v>97.0</v>
      </c>
      <c r="T70" s="56">
        <v>97.0</v>
      </c>
      <c r="U70" s="56">
        <v>97.0</v>
      </c>
      <c r="V70" s="56">
        <v>97.0</v>
      </c>
      <c r="W70" s="37">
        <v>97.0</v>
      </c>
      <c r="X70" s="37">
        <v>95.0</v>
      </c>
      <c r="Y70" s="37">
        <v>97.0</v>
      </c>
      <c r="Z70" s="37">
        <v>97.0</v>
      </c>
      <c r="AA70" s="37">
        <v>97.0</v>
      </c>
      <c r="AB70" s="38">
        <v>95.0</v>
      </c>
      <c r="AC70" s="38">
        <v>97.0</v>
      </c>
      <c r="AD70" s="39">
        <v>97.0</v>
      </c>
      <c r="AE70" s="40">
        <v>96.0</v>
      </c>
      <c r="AF70" s="40">
        <v>96.0</v>
      </c>
      <c r="AG70" s="39">
        <v>97.0</v>
      </c>
      <c r="AH70" s="39">
        <v>97.0</v>
      </c>
      <c r="AI70" s="41">
        <v>97.0</v>
      </c>
      <c r="AJ70" s="41">
        <v>97.0</v>
      </c>
      <c r="AK70" s="11">
        <v>97.0</v>
      </c>
      <c r="AL70" s="11">
        <v>97.0</v>
      </c>
      <c r="AM70" s="42">
        <f t="shared" si="13"/>
        <v>97</v>
      </c>
      <c r="AN70" s="11">
        <v>4.0</v>
      </c>
      <c r="AO70" s="11">
        <v>4.0</v>
      </c>
      <c r="AP70" s="11">
        <v>4.0</v>
      </c>
      <c r="AQ70" s="11">
        <v>4.0</v>
      </c>
      <c r="AR70" s="11">
        <v>4.0</v>
      </c>
      <c r="AS70" s="11">
        <v>4.0</v>
      </c>
      <c r="AT70" s="11">
        <v>4.0</v>
      </c>
      <c r="AU70" s="11">
        <v>4.0</v>
      </c>
      <c r="AV70" s="11">
        <v>4.0</v>
      </c>
      <c r="AW70" s="11">
        <f t="shared" si="12"/>
        <v>36</v>
      </c>
    </row>
    <row r="71" ht="15.75" customHeight="1">
      <c r="A71" s="27" t="s">
        <v>59</v>
      </c>
      <c r="B71" s="27" t="s">
        <v>198</v>
      </c>
      <c r="C71" s="11" t="s">
        <v>66</v>
      </c>
      <c r="D71" s="27" t="s">
        <v>65</v>
      </c>
      <c r="E71" s="27" t="s">
        <v>218</v>
      </c>
      <c r="F71" s="27">
        <v>5.0</v>
      </c>
      <c r="G71" s="27">
        <v>5.0</v>
      </c>
      <c r="H71" s="27">
        <v>3.0</v>
      </c>
      <c r="I71" s="27">
        <v>1.0</v>
      </c>
      <c r="J71" s="31">
        <f t="shared" si="1"/>
        <v>9</v>
      </c>
      <c r="K71" s="27">
        <v>2.0</v>
      </c>
      <c r="L71" s="27">
        <v>2.0</v>
      </c>
      <c r="M71" s="30">
        <f t="shared" si="2"/>
        <v>4</v>
      </c>
      <c r="N71" s="32">
        <f t="shared" si="3"/>
        <v>18</v>
      </c>
      <c r="O71" s="56">
        <v>100.0</v>
      </c>
      <c r="P71" s="57">
        <v>95.0</v>
      </c>
      <c r="Q71" s="57">
        <v>95.0</v>
      </c>
      <c r="R71" s="56">
        <v>95.0</v>
      </c>
      <c r="S71" s="56">
        <v>100.0</v>
      </c>
      <c r="T71" s="56">
        <v>95.0</v>
      </c>
      <c r="U71" s="56">
        <v>100.0</v>
      </c>
      <c r="V71" s="56">
        <v>95.0</v>
      </c>
      <c r="W71" s="37">
        <v>100.0</v>
      </c>
      <c r="X71" s="37">
        <v>100.0</v>
      </c>
      <c r="Y71" s="37">
        <v>95.0</v>
      </c>
      <c r="Z71" s="37">
        <v>95.0</v>
      </c>
      <c r="AA71" s="37">
        <v>95.0</v>
      </c>
      <c r="AB71" s="38">
        <v>100.0</v>
      </c>
      <c r="AC71" s="38">
        <v>100.0</v>
      </c>
      <c r="AD71" s="39">
        <v>100.0</v>
      </c>
      <c r="AE71" s="40">
        <v>95.0</v>
      </c>
      <c r="AF71" s="40">
        <v>95.0</v>
      </c>
      <c r="AG71" s="39">
        <v>95.0</v>
      </c>
      <c r="AH71" s="39">
        <v>95.0</v>
      </c>
      <c r="AI71" s="41">
        <v>95.0</v>
      </c>
      <c r="AJ71" s="41">
        <v>100.0</v>
      </c>
      <c r="AK71" s="11">
        <v>95.0</v>
      </c>
      <c r="AL71" s="11">
        <v>95.0</v>
      </c>
      <c r="AM71" s="42">
        <f t="shared" si="13"/>
        <v>97</v>
      </c>
      <c r="AN71" s="11">
        <v>3.0</v>
      </c>
      <c r="AO71" s="11">
        <v>4.0</v>
      </c>
      <c r="AP71" s="11">
        <v>4.0</v>
      </c>
      <c r="AQ71" s="11">
        <v>4.0</v>
      </c>
      <c r="AR71" s="11">
        <v>4.0</v>
      </c>
      <c r="AS71" s="11">
        <v>4.0</v>
      </c>
      <c r="AT71" s="11">
        <v>3.0</v>
      </c>
      <c r="AU71" s="11">
        <v>4.0</v>
      </c>
      <c r="AV71" s="11">
        <v>4.0</v>
      </c>
      <c r="AW71" s="11">
        <f t="shared" si="12"/>
        <v>34</v>
      </c>
    </row>
    <row r="72" ht="15.75" customHeight="1">
      <c r="A72" s="27" t="s">
        <v>59</v>
      </c>
      <c r="B72" s="27" t="s">
        <v>205</v>
      </c>
      <c r="C72" s="11" t="s">
        <v>66</v>
      </c>
      <c r="D72" s="27" t="s">
        <v>65</v>
      </c>
      <c r="E72" s="27" t="s">
        <v>219</v>
      </c>
      <c r="F72" s="27">
        <v>5.0</v>
      </c>
      <c r="G72" s="27">
        <v>5.0</v>
      </c>
      <c r="H72" s="27">
        <v>3.0</v>
      </c>
      <c r="I72" s="27">
        <v>2.0</v>
      </c>
      <c r="J72" s="31">
        <f t="shared" si="1"/>
        <v>10</v>
      </c>
      <c r="K72" s="27">
        <v>2.0</v>
      </c>
      <c r="L72" s="27">
        <v>2.0</v>
      </c>
      <c r="M72" s="30">
        <f t="shared" si="2"/>
        <v>4</v>
      </c>
      <c r="N72" s="32">
        <f t="shared" si="3"/>
        <v>19</v>
      </c>
      <c r="O72" s="56">
        <v>97.0</v>
      </c>
      <c r="P72" s="57">
        <v>98.0</v>
      </c>
      <c r="Q72" s="57">
        <v>99.0</v>
      </c>
      <c r="R72" s="56">
        <v>99.0</v>
      </c>
      <c r="S72" s="56">
        <v>97.0</v>
      </c>
      <c r="T72" s="56">
        <v>98.0</v>
      </c>
      <c r="U72" s="56">
        <v>98.0</v>
      </c>
      <c r="V72" s="56">
        <v>99.0</v>
      </c>
      <c r="W72" s="37">
        <v>97.0</v>
      </c>
      <c r="X72" s="37">
        <v>97.0</v>
      </c>
      <c r="Y72" s="37">
        <v>99.0</v>
      </c>
      <c r="Z72" s="37">
        <v>98.0</v>
      </c>
      <c r="AA72" s="37">
        <v>99.0</v>
      </c>
      <c r="AB72" s="38">
        <v>99.0</v>
      </c>
      <c r="AC72" s="38">
        <v>99.0</v>
      </c>
      <c r="AD72" s="39">
        <v>99.0</v>
      </c>
      <c r="AE72" s="40">
        <v>98.0</v>
      </c>
      <c r="AF72" s="40">
        <v>97.0</v>
      </c>
      <c r="AG72" s="39">
        <v>99.0</v>
      </c>
      <c r="AH72" s="39">
        <v>99.0</v>
      </c>
      <c r="AI72" s="41">
        <v>99.0</v>
      </c>
      <c r="AJ72" s="41">
        <v>99.0</v>
      </c>
      <c r="AK72" s="11">
        <v>98.0</v>
      </c>
      <c r="AL72" s="11">
        <v>98.0</v>
      </c>
      <c r="AM72" s="42">
        <f t="shared" si="13"/>
        <v>98</v>
      </c>
      <c r="AN72" s="11">
        <v>4.0</v>
      </c>
      <c r="AO72" s="11">
        <v>4.0</v>
      </c>
      <c r="AP72" s="11">
        <v>4.0</v>
      </c>
      <c r="AQ72" s="11">
        <v>4.0</v>
      </c>
      <c r="AR72" s="11">
        <v>4.0</v>
      </c>
      <c r="AS72" s="11">
        <v>4.0</v>
      </c>
      <c r="AT72" s="11">
        <v>4.0</v>
      </c>
      <c r="AU72" s="11">
        <v>4.0</v>
      </c>
      <c r="AV72" s="11">
        <v>4.0</v>
      </c>
      <c r="AW72" s="11">
        <f t="shared" si="12"/>
        <v>36</v>
      </c>
    </row>
    <row r="73" ht="15.75" customHeight="1">
      <c r="A73" s="27" t="s">
        <v>59</v>
      </c>
      <c r="B73" s="27" t="s">
        <v>169</v>
      </c>
      <c r="C73" s="11" t="s">
        <v>66</v>
      </c>
      <c r="D73" s="27" t="s">
        <v>65</v>
      </c>
      <c r="E73" s="27" t="s">
        <v>220</v>
      </c>
      <c r="F73" s="27">
        <v>5.0</v>
      </c>
      <c r="G73" s="27">
        <v>4.0</v>
      </c>
      <c r="H73" s="27">
        <v>3.0</v>
      </c>
      <c r="I73" s="27">
        <v>2.0</v>
      </c>
      <c r="J73" s="31">
        <f t="shared" si="1"/>
        <v>9</v>
      </c>
      <c r="K73" s="27">
        <v>2.0</v>
      </c>
      <c r="L73" s="27">
        <v>3.0</v>
      </c>
      <c r="M73" s="30">
        <f t="shared" si="2"/>
        <v>5</v>
      </c>
      <c r="N73" s="32">
        <f t="shared" si="3"/>
        <v>19</v>
      </c>
      <c r="O73" s="56">
        <v>100.0</v>
      </c>
      <c r="P73" s="57">
        <v>95.0</v>
      </c>
      <c r="Q73" s="57">
        <v>95.0</v>
      </c>
      <c r="R73" s="56">
        <v>95.0</v>
      </c>
      <c r="S73" s="56">
        <v>100.0</v>
      </c>
      <c r="T73" s="56">
        <v>95.0</v>
      </c>
      <c r="U73" s="56">
        <v>100.0</v>
      </c>
      <c r="V73" s="56">
        <v>95.0</v>
      </c>
      <c r="W73" s="37">
        <v>100.0</v>
      </c>
      <c r="X73" s="37">
        <v>100.0</v>
      </c>
      <c r="Y73" s="37">
        <v>95.0</v>
      </c>
      <c r="Z73" s="37">
        <v>95.0</v>
      </c>
      <c r="AA73" s="37">
        <v>95.0</v>
      </c>
      <c r="AB73" s="38">
        <v>100.0</v>
      </c>
      <c r="AC73" s="38">
        <v>100.0</v>
      </c>
      <c r="AD73" s="39">
        <v>100.0</v>
      </c>
      <c r="AE73" s="40">
        <v>95.0</v>
      </c>
      <c r="AF73" s="40">
        <v>95.0</v>
      </c>
      <c r="AG73" s="39">
        <v>95.0</v>
      </c>
      <c r="AH73" s="39">
        <v>95.0</v>
      </c>
      <c r="AI73" s="41">
        <v>95.0</v>
      </c>
      <c r="AJ73" s="41">
        <v>100.0</v>
      </c>
      <c r="AK73" s="11">
        <v>95.0</v>
      </c>
      <c r="AL73" s="11">
        <v>95.0</v>
      </c>
      <c r="AM73" s="42">
        <f t="shared" si="13"/>
        <v>97</v>
      </c>
      <c r="AN73" s="11">
        <v>3.0</v>
      </c>
      <c r="AO73" s="11">
        <v>4.0</v>
      </c>
      <c r="AP73" s="11">
        <v>4.0</v>
      </c>
      <c r="AQ73" s="11">
        <v>4.0</v>
      </c>
      <c r="AR73" s="11">
        <v>4.0</v>
      </c>
      <c r="AS73" s="11">
        <v>4.0</v>
      </c>
      <c r="AT73" s="11">
        <v>3.0</v>
      </c>
      <c r="AU73" s="11">
        <v>4.0</v>
      </c>
      <c r="AV73" s="11">
        <v>4.0</v>
      </c>
      <c r="AW73" s="11">
        <f t="shared" si="12"/>
        <v>34</v>
      </c>
    </row>
    <row r="74" ht="15.75" customHeight="1">
      <c r="A74" s="27" t="s">
        <v>59</v>
      </c>
      <c r="B74" s="27" t="s">
        <v>205</v>
      </c>
      <c r="C74" s="11" t="s">
        <v>66</v>
      </c>
      <c r="D74" s="27" t="s">
        <v>65</v>
      </c>
      <c r="E74" s="27" t="s">
        <v>221</v>
      </c>
      <c r="F74" s="27">
        <v>5.0</v>
      </c>
      <c r="G74" s="27">
        <v>5.0</v>
      </c>
      <c r="H74" s="27">
        <v>3.0</v>
      </c>
      <c r="I74" s="27">
        <v>2.0</v>
      </c>
      <c r="J74" s="31">
        <f t="shared" si="1"/>
        <v>10</v>
      </c>
      <c r="K74" s="27">
        <v>2.0</v>
      </c>
      <c r="L74" s="27">
        <v>2.0</v>
      </c>
      <c r="M74" s="30">
        <f t="shared" si="2"/>
        <v>4</v>
      </c>
      <c r="N74" s="32">
        <f t="shared" si="3"/>
        <v>19</v>
      </c>
      <c r="O74" s="56">
        <v>100.0</v>
      </c>
      <c r="P74" s="57">
        <v>100.0</v>
      </c>
      <c r="Q74" s="57">
        <v>100.0</v>
      </c>
      <c r="R74" s="56">
        <v>95.0</v>
      </c>
      <c r="S74" s="56">
        <v>95.0</v>
      </c>
      <c r="T74" s="56">
        <v>95.0</v>
      </c>
      <c r="U74" s="56">
        <v>100.0</v>
      </c>
      <c r="V74" s="56">
        <v>100.0</v>
      </c>
      <c r="W74" s="37">
        <v>100.0</v>
      </c>
      <c r="X74" s="37">
        <v>100.0</v>
      </c>
      <c r="Y74" s="37">
        <v>95.0</v>
      </c>
      <c r="Z74" s="37">
        <v>95.0</v>
      </c>
      <c r="AA74" s="37">
        <v>95.0</v>
      </c>
      <c r="AB74" s="38">
        <v>100.0</v>
      </c>
      <c r="AC74" s="38">
        <v>100.0</v>
      </c>
      <c r="AD74" s="39">
        <v>100.0</v>
      </c>
      <c r="AE74" s="40">
        <v>95.0</v>
      </c>
      <c r="AF74" s="40">
        <v>95.0</v>
      </c>
      <c r="AG74" s="39">
        <v>95.0</v>
      </c>
      <c r="AH74" s="39">
        <v>95.0</v>
      </c>
      <c r="AI74" s="41">
        <v>100.0</v>
      </c>
      <c r="AJ74" s="41">
        <v>100.0</v>
      </c>
      <c r="AK74" s="11">
        <v>100.0</v>
      </c>
      <c r="AL74" s="11">
        <v>100.0</v>
      </c>
      <c r="AM74" s="42">
        <f t="shared" si="13"/>
        <v>98</v>
      </c>
      <c r="AN74" s="11">
        <v>4.0</v>
      </c>
      <c r="AO74" s="11">
        <v>4.0</v>
      </c>
      <c r="AP74" s="11">
        <v>4.0</v>
      </c>
      <c r="AQ74" s="11">
        <v>4.0</v>
      </c>
      <c r="AR74" s="11">
        <v>4.0</v>
      </c>
      <c r="AS74" s="11">
        <v>4.0</v>
      </c>
      <c r="AT74" s="11">
        <v>4.0</v>
      </c>
      <c r="AU74" s="11">
        <v>4.0</v>
      </c>
      <c r="AV74" s="11">
        <v>4.0</v>
      </c>
      <c r="AW74" s="11">
        <f t="shared" si="12"/>
        <v>36</v>
      </c>
    </row>
    <row r="75" ht="15.75" customHeight="1">
      <c r="A75" s="27" t="s">
        <v>59</v>
      </c>
      <c r="B75" s="27" t="s">
        <v>227</v>
      </c>
      <c r="C75" s="11" t="s">
        <v>62</v>
      </c>
      <c r="D75" s="27" t="s">
        <v>65</v>
      </c>
      <c r="E75" s="27" t="s">
        <v>228</v>
      </c>
      <c r="F75" s="27">
        <v>5.0</v>
      </c>
      <c r="G75" s="27">
        <v>3.0</v>
      </c>
      <c r="H75" s="27">
        <v>2.0</v>
      </c>
      <c r="I75" s="27">
        <v>1.0</v>
      </c>
      <c r="J75" s="31">
        <f t="shared" si="1"/>
        <v>6</v>
      </c>
      <c r="K75" s="27">
        <v>2.0</v>
      </c>
      <c r="L75" s="27"/>
      <c r="M75" s="30">
        <f t="shared" si="2"/>
        <v>2</v>
      </c>
      <c r="N75" s="32">
        <f t="shared" si="3"/>
        <v>13</v>
      </c>
      <c r="O75" s="56">
        <v>95.0</v>
      </c>
      <c r="P75" s="57">
        <v>97.0</v>
      </c>
      <c r="Q75" s="57">
        <v>95.0</v>
      </c>
      <c r="R75" s="56">
        <v>98.0</v>
      </c>
      <c r="S75" s="56">
        <v>98.0</v>
      </c>
      <c r="T75" s="56">
        <v>95.0</v>
      </c>
      <c r="U75" s="56">
        <v>95.0</v>
      </c>
      <c r="V75" s="56">
        <v>93.0</v>
      </c>
      <c r="W75" s="37">
        <v>95.0</v>
      </c>
      <c r="X75" s="37">
        <v>93.0</v>
      </c>
      <c r="Y75" s="37">
        <v>93.0</v>
      </c>
      <c r="Z75" s="37">
        <v>93.0</v>
      </c>
      <c r="AA75" s="37">
        <v>93.0</v>
      </c>
      <c r="AB75" s="38">
        <v>93.0</v>
      </c>
      <c r="AC75" s="38">
        <v>95.0</v>
      </c>
      <c r="AD75" s="39">
        <v>95.0</v>
      </c>
      <c r="AE75" s="40">
        <v>94.0</v>
      </c>
      <c r="AF75" s="40">
        <v>95.0</v>
      </c>
      <c r="AG75" s="39">
        <v>95.0</v>
      </c>
      <c r="AH75" s="39">
        <v>95.0</v>
      </c>
      <c r="AI75" s="41">
        <v>97.0</v>
      </c>
      <c r="AJ75" s="41">
        <v>97.0</v>
      </c>
      <c r="AK75" s="11">
        <v>95.0</v>
      </c>
      <c r="AL75" s="11">
        <v>95.0</v>
      </c>
      <c r="AM75" s="64">
        <v>0.95</v>
      </c>
      <c r="AN75" s="11">
        <v>4.0</v>
      </c>
      <c r="AO75" s="11">
        <v>4.0</v>
      </c>
      <c r="AP75" s="11">
        <v>4.0</v>
      </c>
      <c r="AQ75" s="11">
        <v>4.0</v>
      </c>
      <c r="AR75" s="11">
        <v>4.0</v>
      </c>
      <c r="AS75" s="11">
        <v>4.0</v>
      </c>
      <c r="AT75" s="11">
        <v>3.0</v>
      </c>
      <c r="AU75" s="11">
        <v>4.0</v>
      </c>
      <c r="AV75" s="11">
        <v>3.0</v>
      </c>
      <c r="AW75" s="11">
        <f t="shared" si="12"/>
        <v>34</v>
      </c>
    </row>
    <row r="76" ht="15.75" customHeight="1">
      <c r="A76" s="27" t="s">
        <v>59</v>
      </c>
      <c r="B76" s="27" t="s">
        <v>201</v>
      </c>
      <c r="C76" s="11" t="s">
        <v>66</v>
      </c>
      <c r="D76" s="27" t="s">
        <v>65</v>
      </c>
      <c r="E76" s="27" t="s">
        <v>229</v>
      </c>
      <c r="F76" s="27">
        <v>5.0</v>
      </c>
      <c r="G76" s="27">
        <v>5.0</v>
      </c>
      <c r="H76" s="27">
        <v>3.0</v>
      </c>
      <c r="I76" s="27">
        <v>2.0</v>
      </c>
      <c r="J76" s="31">
        <f t="shared" si="1"/>
        <v>10</v>
      </c>
      <c r="K76" s="27">
        <v>2.0</v>
      </c>
      <c r="L76" s="27">
        <v>2.0</v>
      </c>
      <c r="M76" s="30">
        <f t="shared" si="2"/>
        <v>4</v>
      </c>
      <c r="N76" s="32">
        <f t="shared" si="3"/>
        <v>19</v>
      </c>
      <c r="O76" s="56">
        <v>95.0</v>
      </c>
      <c r="P76" s="57">
        <v>98.0</v>
      </c>
      <c r="Q76" s="57">
        <v>95.0</v>
      </c>
      <c r="R76" s="56">
        <v>100.0</v>
      </c>
      <c r="S76" s="56">
        <v>100.0</v>
      </c>
      <c r="T76" s="56">
        <v>90.0</v>
      </c>
      <c r="U76" s="56">
        <v>98.0</v>
      </c>
      <c r="V76" s="56">
        <v>90.0</v>
      </c>
      <c r="W76" s="37">
        <v>98.0</v>
      </c>
      <c r="X76" s="37">
        <v>98.0</v>
      </c>
      <c r="Y76" s="37">
        <v>100.0</v>
      </c>
      <c r="Z76" s="37">
        <v>90.0</v>
      </c>
      <c r="AA76" s="37">
        <v>90.0</v>
      </c>
      <c r="AB76" s="38">
        <v>98.0</v>
      </c>
      <c r="AC76" s="38">
        <v>98.0</v>
      </c>
      <c r="AD76" s="39">
        <v>98.0</v>
      </c>
      <c r="AE76" s="40">
        <v>100.0</v>
      </c>
      <c r="AF76" s="40">
        <v>91.0</v>
      </c>
      <c r="AG76" s="39">
        <v>95.0</v>
      </c>
      <c r="AH76" s="39">
        <v>89.0</v>
      </c>
      <c r="AI76" s="41">
        <v>98.0</v>
      </c>
      <c r="AJ76" s="41">
        <v>95.0</v>
      </c>
      <c r="AK76" s="11">
        <v>100.0</v>
      </c>
      <c r="AL76" s="11">
        <v>100.0</v>
      </c>
      <c r="AM76" s="64">
        <v>0.96</v>
      </c>
      <c r="AN76" s="11">
        <v>4.0</v>
      </c>
      <c r="AO76" s="11">
        <v>3.0</v>
      </c>
      <c r="AP76" s="11">
        <v>4.0</v>
      </c>
      <c r="AQ76" s="11">
        <v>4.0</v>
      </c>
      <c r="AR76" s="11">
        <v>4.0</v>
      </c>
      <c r="AS76" s="11">
        <v>4.0</v>
      </c>
      <c r="AT76" s="11">
        <v>3.0</v>
      </c>
      <c r="AU76" s="11">
        <v>4.0</v>
      </c>
      <c r="AV76" s="11">
        <v>4.0</v>
      </c>
      <c r="AW76" s="11">
        <f t="shared" si="12"/>
        <v>34</v>
      </c>
    </row>
    <row r="77" ht="15.75" customHeight="1">
      <c r="A77" s="27" t="s">
        <v>59</v>
      </c>
      <c r="B77" s="27" t="s">
        <v>82</v>
      </c>
      <c r="C77" s="11" t="s">
        <v>66</v>
      </c>
      <c r="D77" s="27" t="s">
        <v>65</v>
      </c>
      <c r="E77" s="27" t="s">
        <v>230</v>
      </c>
      <c r="F77" s="27">
        <v>4.0</v>
      </c>
      <c r="G77" s="27">
        <v>5.0</v>
      </c>
      <c r="H77" s="27">
        <v>2.0</v>
      </c>
      <c r="I77" s="27">
        <v>2.0</v>
      </c>
      <c r="J77" s="31">
        <f t="shared" si="1"/>
        <v>9</v>
      </c>
      <c r="K77" s="27">
        <v>2.0</v>
      </c>
      <c r="L77" s="27">
        <v>3.0</v>
      </c>
      <c r="M77" s="30">
        <f t="shared" si="2"/>
        <v>5</v>
      </c>
      <c r="N77" s="32">
        <f t="shared" si="3"/>
        <v>18</v>
      </c>
      <c r="O77" s="56">
        <v>2.0</v>
      </c>
      <c r="P77" s="57">
        <v>3.0</v>
      </c>
      <c r="Q77" s="57">
        <v>3.0</v>
      </c>
      <c r="R77" s="56">
        <v>2.0</v>
      </c>
      <c r="S77" s="56">
        <v>3.0</v>
      </c>
      <c r="T77" s="56">
        <v>3.0</v>
      </c>
      <c r="U77" s="56">
        <v>3.0</v>
      </c>
      <c r="V77" s="56">
        <v>3.0</v>
      </c>
      <c r="W77" s="37">
        <v>2.0</v>
      </c>
      <c r="X77" s="37">
        <v>3.0</v>
      </c>
      <c r="Y77" s="37">
        <v>3.0</v>
      </c>
      <c r="Z77" s="37">
        <v>3.0</v>
      </c>
      <c r="AA77" s="37">
        <v>3.0</v>
      </c>
      <c r="AB77" s="38">
        <v>3.0</v>
      </c>
      <c r="AC77" s="38">
        <v>3.0</v>
      </c>
      <c r="AD77" s="39">
        <v>3.0</v>
      </c>
      <c r="AE77" s="40">
        <v>3.0</v>
      </c>
      <c r="AF77" s="40">
        <v>3.0</v>
      </c>
      <c r="AG77" s="39">
        <v>3.0</v>
      </c>
      <c r="AH77" s="39">
        <v>3.0</v>
      </c>
      <c r="AI77" s="41"/>
      <c r="AJ77" s="41"/>
      <c r="AK77" s="11">
        <v>2.5</v>
      </c>
      <c r="AL77" s="11">
        <v>2.5</v>
      </c>
      <c r="AM77" s="42">
        <f>ROUND(AVERAGE(O77:AL77),0)</f>
        <v>3</v>
      </c>
      <c r="AN77" s="11">
        <v>3.0</v>
      </c>
      <c r="AO77" s="11">
        <v>3.0</v>
      </c>
      <c r="AP77" s="11">
        <v>3.0</v>
      </c>
      <c r="AQ77" s="11">
        <v>4.0</v>
      </c>
      <c r="AR77" s="11">
        <v>4.0</v>
      </c>
      <c r="AS77" s="11">
        <v>4.0</v>
      </c>
      <c r="AT77" s="11">
        <v>4.0</v>
      </c>
      <c r="AU77" s="11">
        <v>4.0</v>
      </c>
      <c r="AV77" s="11">
        <v>4.0</v>
      </c>
      <c r="AW77" s="11">
        <f t="shared" si="12"/>
        <v>33</v>
      </c>
    </row>
    <row r="78" ht="15.75" customHeight="1">
      <c r="A78" s="27" t="s">
        <v>59</v>
      </c>
      <c r="B78" s="27" t="s">
        <v>227</v>
      </c>
      <c r="C78" s="11" t="s">
        <v>62</v>
      </c>
      <c r="D78" s="27" t="s">
        <v>65</v>
      </c>
      <c r="E78" s="27" t="s">
        <v>231</v>
      </c>
      <c r="F78" s="27">
        <v>5.0</v>
      </c>
      <c r="G78" s="27">
        <v>5.0</v>
      </c>
      <c r="H78" s="27">
        <v>3.0</v>
      </c>
      <c r="I78" s="27">
        <v>2.0</v>
      </c>
      <c r="J78" s="31">
        <f t="shared" si="1"/>
        <v>10</v>
      </c>
      <c r="K78" s="27">
        <v>1.0</v>
      </c>
      <c r="L78" s="27">
        <v>2.0</v>
      </c>
      <c r="M78" s="30">
        <f t="shared" si="2"/>
        <v>3</v>
      </c>
      <c r="N78" s="32">
        <f t="shared" si="3"/>
        <v>18</v>
      </c>
      <c r="O78" s="56">
        <v>100.0</v>
      </c>
      <c r="P78" s="57">
        <v>100.0</v>
      </c>
      <c r="Q78" s="57">
        <v>90.0</v>
      </c>
      <c r="R78" s="56">
        <v>95.0</v>
      </c>
      <c r="S78" s="56">
        <v>100.0</v>
      </c>
      <c r="T78" s="56">
        <v>98.0</v>
      </c>
      <c r="U78" s="56">
        <v>95.0</v>
      </c>
      <c r="V78" s="56">
        <v>100.0</v>
      </c>
      <c r="W78" s="37">
        <v>90.0</v>
      </c>
      <c r="X78" s="37">
        <v>90.0</v>
      </c>
      <c r="Y78" s="37">
        <v>100.0</v>
      </c>
      <c r="Z78" s="37">
        <v>95.0</v>
      </c>
      <c r="AA78" s="37">
        <v>100.0</v>
      </c>
      <c r="AB78" s="38">
        <v>100.0</v>
      </c>
      <c r="AC78" s="38">
        <v>95.0</v>
      </c>
      <c r="AD78" s="39">
        <v>100.0</v>
      </c>
      <c r="AE78" s="40">
        <v>90.0</v>
      </c>
      <c r="AF78" s="40">
        <v>90.0</v>
      </c>
      <c r="AG78" s="39">
        <v>95.0</v>
      </c>
      <c r="AH78" s="39">
        <v>85.0</v>
      </c>
      <c r="AI78" s="41">
        <v>98.0</v>
      </c>
      <c r="AJ78" s="41">
        <v>100.0</v>
      </c>
      <c r="AK78" s="11">
        <v>100.0</v>
      </c>
      <c r="AL78" s="11">
        <v>98.0</v>
      </c>
      <c r="AM78" s="42">
        <f>AVERAGE(O78:AL78)</f>
        <v>96</v>
      </c>
      <c r="AN78" s="11">
        <v>4.0</v>
      </c>
      <c r="AO78" s="11">
        <v>4.0</v>
      </c>
      <c r="AP78" s="11">
        <v>3.0</v>
      </c>
      <c r="AQ78" s="11">
        <v>4.0</v>
      </c>
      <c r="AR78" s="11">
        <v>3.0</v>
      </c>
      <c r="AS78" s="11">
        <v>4.0</v>
      </c>
      <c r="AT78" s="11">
        <v>3.0</v>
      </c>
      <c r="AU78" s="11">
        <v>3.0</v>
      </c>
      <c r="AV78" s="11">
        <v>4.0</v>
      </c>
      <c r="AW78" s="11">
        <f t="shared" si="12"/>
        <v>32</v>
      </c>
    </row>
    <row r="79" ht="15.75" customHeight="1">
      <c r="A79" s="27" t="s">
        <v>59</v>
      </c>
      <c r="B79" s="27" t="s">
        <v>233</v>
      </c>
      <c r="C79" s="11" t="s">
        <v>62</v>
      </c>
      <c r="D79" s="27" t="s">
        <v>65</v>
      </c>
      <c r="E79" s="27" t="s">
        <v>234</v>
      </c>
      <c r="F79" s="27">
        <v>5.0</v>
      </c>
      <c r="G79" s="27">
        <v>5.0</v>
      </c>
      <c r="H79" s="27">
        <v>3.0</v>
      </c>
      <c r="I79" s="27">
        <v>2.0</v>
      </c>
      <c r="J79" s="31">
        <f t="shared" si="1"/>
        <v>10</v>
      </c>
      <c r="K79" s="27">
        <v>2.0</v>
      </c>
      <c r="L79" s="27">
        <v>3.0</v>
      </c>
      <c r="M79" s="30">
        <f t="shared" si="2"/>
        <v>5</v>
      </c>
      <c r="N79" s="32">
        <f t="shared" si="3"/>
        <v>20</v>
      </c>
      <c r="O79" s="56">
        <v>100.0</v>
      </c>
      <c r="P79" s="57">
        <v>100.0</v>
      </c>
      <c r="Q79" s="57">
        <v>100.0</v>
      </c>
      <c r="R79" s="56">
        <v>100.0</v>
      </c>
      <c r="S79" s="56">
        <v>100.0</v>
      </c>
      <c r="T79" s="56">
        <v>100.0</v>
      </c>
      <c r="U79" s="56">
        <v>100.0</v>
      </c>
      <c r="V79" s="56">
        <v>100.0</v>
      </c>
      <c r="W79" s="37">
        <v>100.0</v>
      </c>
      <c r="X79" s="37">
        <v>100.0</v>
      </c>
      <c r="Y79" s="37">
        <v>100.0</v>
      </c>
      <c r="Z79" s="37">
        <v>100.0</v>
      </c>
      <c r="AA79" s="37">
        <v>100.0</v>
      </c>
      <c r="AB79" s="74">
        <v>100.0</v>
      </c>
      <c r="AC79" s="74">
        <v>100.0</v>
      </c>
      <c r="AD79" s="39">
        <v>100.0</v>
      </c>
      <c r="AE79" s="75">
        <v>100.0</v>
      </c>
      <c r="AF79" s="75">
        <v>100.0</v>
      </c>
      <c r="AG79" s="39">
        <v>100.0</v>
      </c>
      <c r="AH79" s="39">
        <v>100.0</v>
      </c>
      <c r="AI79" s="76">
        <v>100.0</v>
      </c>
      <c r="AJ79" s="76">
        <v>100.0</v>
      </c>
      <c r="AK79" s="11">
        <v>100.0</v>
      </c>
      <c r="AL79" s="11">
        <v>100.0</v>
      </c>
      <c r="AM79" s="77">
        <v>100.0</v>
      </c>
      <c r="AN79" s="11">
        <v>4.0</v>
      </c>
      <c r="AO79" s="11">
        <v>4.0</v>
      </c>
      <c r="AP79" s="11">
        <v>4.0</v>
      </c>
      <c r="AQ79" s="11">
        <v>4.0</v>
      </c>
      <c r="AR79" s="11">
        <v>4.0</v>
      </c>
      <c r="AS79" s="11">
        <v>4.0</v>
      </c>
      <c r="AT79" s="11">
        <v>3.0</v>
      </c>
      <c r="AU79" s="11">
        <v>4.0</v>
      </c>
      <c r="AV79" s="11">
        <v>4.0</v>
      </c>
      <c r="AW79" s="11">
        <f t="shared" si="12"/>
        <v>35</v>
      </c>
    </row>
    <row r="80" ht="15.75" customHeight="1">
      <c r="A80" s="27" t="s">
        <v>59</v>
      </c>
      <c r="B80" s="27" t="s">
        <v>203</v>
      </c>
      <c r="C80" s="11" t="s">
        <v>66</v>
      </c>
      <c r="D80" s="27" t="s">
        <v>65</v>
      </c>
      <c r="E80" s="27" t="s">
        <v>236</v>
      </c>
      <c r="F80" s="27">
        <v>5.0</v>
      </c>
      <c r="G80" s="27">
        <v>4.0</v>
      </c>
      <c r="H80" s="27">
        <v>3.0</v>
      </c>
      <c r="I80" s="27">
        <v>2.0</v>
      </c>
      <c r="J80" s="31">
        <f t="shared" si="1"/>
        <v>9</v>
      </c>
      <c r="K80" s="27">
        <v>2.0</v>
      </c>
      <c r="L80" s="27">
        <v>2.0</v>
      </c>
      <c r="M80" s="30">
        <f t="shared" si="2"/>
        <v>4</v>
      </c>
      <c r="N80" s="32">
        <f t="shared" si="3"/>
        <v>18</v>
      </c>
      <c r="O80" s="56">
        <v>93.0</v>
      </c>
      <c r="P80" s="57">
        <v>93.0</v>
      </c>
      <c r="Q80" s="57">
        <v>95.0</v>
      </c>
      <c r="R80" s="56">
        <v>95.0</v>
      </c>
      <c r="S80" s="56">
        <v>95.0</v>
      </c>
      <c r="T80" s="56">
        <v>95.0</v>
      </c>
      <c r="U80" s="56">
        <v>97.0</v>
      </c>
      <c r="V80" s="56">
        <v>97.0</v>
      </c>
      <c r="W80" s="37">
        <v>97.0</v>
      </c>
      <c r="X80" s="37">
        <v>95.0</v>
      </c>
      <c r="Y80" s="37">
        <v>90.0</v>
      </c>
      <c r="Z80" s="37">
        <v>96.0</v>
      </c>
      <c r="AA80" s="37">
        <v>97.0</v>
      </c>
      <c r="AB80" s="38">
        <v>97.0</v>
      </c>
      <c r="AC80" s="38">
        <v>90.0</v>
      </c>
      <c r="AD80" s="39">
        <v>97.0</v>
      </c>
      <c r="AE80" s="40">
        <v>98.0</v>
      </c>
      <c r="AF80" s="40">
        <v>93.0</v>
      </c>
      <c r="AG80" s="39">
        <v>89.0</v>
      </c>
      <c r="AH80" s="39">
        <v>92.0</v>
      </c>
      <c r="AI80" s="41">
        <v>85.0</v>
      </c>
      <c r="AJ80" s="41">
        <v>98.0</v>
      </c>
      <c r="AK80" s="11">
        <v>96.0</v>
      </c>
      <c r="AL80" s="11">
        <v>89.0</v>
      </c>
      <c r="AM80" s="42">
        <v>89.0</v>
      </c>
      <c r="AN80" s="11">
        <v>4.0</v>
      </c>
      <c r="AO80" s="11">
        <v>3.0</v>
      </c>
      <c r="AP80" s="11">
        <v>4.0</v>
      </c>
      <c r="AQ80" s="11">
        <v>4.0</v>
      </c>
      <c r="AR80" s="11">
        <v>4.0</v>
      </c>
      <c r="AS80" s="11">
        <v>4.0</v>
      </c>
      <c r="AT80" s="11">
        <v>3.0</v>
      </c>
      <c r="AU80" s="11">
        <v>4.0</v>
      </c>
      <c r="AV80" s="11">
        <v>4.0</v>
      </c>
      <c r="AW80" s="11">
        <f t="shared" si="12"/>
        <v>34</v>
      </c>
    </row>
    <row r="81" ht="15.75" customHeight="1">
      <c r="A81" s="27" t="s">
        <v>59</v>
      </c>
      <c r="B81" s="27" t="s">
        <v>77</v>
      </c>
      <c r="C81" s="11" t="s">
        <v>66</v>
      </c>
      <c r="D81" s="27" t="s">
        <v>65</v>
      </c>
      <c r="E81" s="27" t="s">
        <v>237</v>
      </c>
      <c r="F81" s="27">
        <v>5.0</v>
      </c>
      <c r="G81" s="27">
        <v>4.0</v>
      </c>
      <c r="H81" s="27">
        <v>3.0</v>
      </c>
      <c r="I81" s="27">
        <v>1.0</v>
      </c>
      <c r="J81" s="31">
        <f t="shared" si="1"/>
        <v>8</v>
      </c>
      <c r="K81" s="27">
        <v>1.0</v>
      </c>
      <c r="L81" s="27">
        <v>2.0</v>
      </c>
      <c r="M81" s="30">
        <f t="shared" si="2"/>
        <v>3</v>
      </c>
      <c r="N81" s="32">
        <f t="shared" si="3"/>
        <v>16</v>
      </c>
      <c r="O81" s="56">
        <v>91.0</v>
      </c>
      <c r="P81" s="57">
        <v>90.0</v>
      </c>
      <c r="Q81" s="57">
        <v>92.0</v>
      </c>
      <c r="R81" s="56">
        <v>95.0</v>
      </c>
      <c r="S81" s="56">
        <v>95.0</v>
      </c>
      <c r="T81" s="56">
        <v>90.0</v>
      </c>
      <c r="U81" s="56">
        <v>93.0</v>
      </c>
      <c r="V81" s="56">
        <v>95.0</v>
      </c>
      <c r="W81" s="37">
        <v>96.0</v>
      </c>
      <c r="X81" s="37">
        <v>90.0</v>
      </c>
      <c r="Y81" s="37">
        <v>90.0</v>
      </c>
      <c r="Z81" s="37">
        <v>90.0</v>
      </c>
      <c r="AA81" s="37">
        <v>90.0</v>
      </c>
      <c r="AB81" s="38">
        <v>90.0</v>
      </c>
      <c r="AC81" s="38">
        <v>91.0</v>
      </c>
      <c r="AD81" s="39">
        <v>95.0</v>
      </c>
      <c r="AE81" s="40">
        <v>92.0</v>
      </c>
      <c r="AF81" s="40">
        <v>95.0</v>
      </c>
      <c r="AG81" s="39">
        <v>94.0</v>
      </c>
      <c r="AH81" s="39">
        <v>92.0</v>
      </c>
      <c r="AI81" s="41">
        <v>91.0</v>
      </c>
      <c r="AJ81" s="41">
        <v>91.0</v>
      </c>
      <c r="AK81" s="11">
        <v>93.0</v>
      </c>
      <c r="AL81" s="11">
        <v>90.0</v>
      </c>
      <c r="AM81" s="42">
        <v>92.13</v>
      </c>
      <c r="AN81" s="11">
        <v>3.0</v>
      </c>
      <c r="AO81" s="11">
        <v>3.0</v>
      </c>
      <c r="AP81" s="11">
        <v>3.0</v>
      </c>
      <c r="AQ81" s="11">
        <v>4.0</v>
      </c>
      <c r="AR81" s="11">
        <v>4.0</v>
      </c>
      <c r="AS81" s="11">
        <v>4.0</v>
      </c>
      <c r="AT81" s="11">
        <v>3.0</v>
      </c>
      <c r="AU81" s="11">
        <v>3.0</v>
      </c>
      <c r="AV81" s="11">
        <v>3.0</v>
      </c>
      <c r="AW81" s="11">
        <f t="shared" si="12"/>
        <v>30</v>
      </c>
    </row>
    <row r="82" ht="15.75" customHeight="1">
      <c r="A82" s="27" t="s">
        <v>59</v>
      </c>
      <c r="B82" s="27" t="s">
        <v>233</v>
      </c>
      <c r="C82" s="11" t="s">
        <v>62</v>
      </c>
      <c r="D82" s="27" t="s">
        <v>65</v>
      </c>
      <c r="E82" s="27" t="s">
        <v>238</v>
      </c>
      <c r="F82" s="27">
        <v>5.0</v>
      </c>
      <c r="G82" s="27">
        <v>4.0</v>
      </c>
      <c r="H82" s="27">
        <v>3.0</v>
      </c>
      <c r="I82" s="27">
        <v>1.0</v>
      </c>
      <c r="J82" s="31">
        <f t="shared" si="1"/>
        <v>8</v>
      </c>
      <c r="K82" s="27">
        <v>1.0</v>
      </c>
      <c r="L82" s="27">
        <v>2.0</v>
      </c>
      <c r="M82" s="30">
        <f t="shared" si="2"/>
        <v>3</v>
      </c>
      <c r="N82" s="32">
        <f t="shared" si="3"/>
        <v>16</v>
      </c>
      <c r="O82" s="56">
        <v>98.0</v>
      </c>
      <c r="P82" s="57">
        <v>95.0</v>
      </c>
      <c r="Q82" s="57">
        <v>92.0</v>
      </c>
      <c r="R82" s="56">
        <v>93.0</v>
      </c>
      <c r="S82" s="56">
        <v>98.0</v>
      </c>
      <c r="T82" s="56">
        <v>97.0</v>
      </c>
      <c r="U82" s="56">
        <v>96.0</v>
      </c>
      <c r="V82" s="56">
        <v>96.0</v>
      </c>
      <c r="W82" s="37">
        <v>97.0</v>
      </c>
      <c r="X82" s="37">
        <v>95.0</v>
      </c>
      <c r="Y82" s="37">
        <v>95.0</v>
      </c>
      <c r="Z82" s="37">
        <v>95.0</v>
      </c>
      <c r="AA82" s="37">
        <v>95.0</v>
      </c>
      <c r="AB82" s="38">
        <v>95.0</v>
      </c>
      <c r="AC82" s="38">
        <v>95.0</v>
      </c>
      <c r="AD82" s="39">
        <v>97.0</v>
      </c>
      <c r="AE82" s="40">
        <v>98.0</v>
      </c>
      <c r="AF82" s="40">
        <v>98.0</v>
      </c>
      <c r="AG82" s="39">
        <v>95.0</v>
      </c>
      <c r="AH82" s="39">
        <v>92.0</v>
      </c>
      <c r="AI82" s="41">
        <v>98.0</v>
      </c>
      <c r="AJ82" s="41">
        <v>95.0</v>
      </c>
      <c r="AK82" s="11">
        <v>93.0</v>
      </c>
      <c r="AL82" s="11">
        <v>95.0</v>
      </c>
      <c r="AM82" s="42">
        <v>95.0</v>
      </c>
      <c r="AN82" s="11">
        <v>3.0</v>
      </c>
      <c r="AO82" s="11">
        <v>4.0</v>
      </c>
      <c r="AP82" s="11">
        <v>4.0</v>
      </c>
      <c r="AQ82" s="11">
        <v>3.0</v>
      </c>
      <c r="AR82" s="11">
        <v>3.0</v>
      </c>
      <c r="AS82" s="11">
        <v>3.0</v>
      </c>
      <c r="AT82" s="11">
        <v>4.0</v>
      </c>
      <c r="AU82" s="11">
        <v>3.0</v>
      </c>
      <c r="AV82" s="11">
        <v>3.0</v>
      </c>
      <c r="AW82" s="11">
        <f t="shared" si="12"/>
        <v>30</v>
      </c>
    </row>
    <row r="83" ht="15.75" customHeight="1">
      <c r="A83" s="27" t="s">
        <v>59</v>
      </c>
      <c r="B83" s="27" t="s">
        <v>205</v>
      </c>
      <c r="C83" s="11" t="s">
        <v>66</v>
      </c>
      <c r="D83" s="27" t="s">
        <v>65</v>
      </c>
      <c r="E83" s="27" t="s">
        <v>239</v>
      </c>
      <c r="F83" s="27">
        <v>5.0</v>
      </c>
      <c r="G83" s="27">
        <v>4.0</v>
      </c>
      <c r="H83" s="27">
        <v>3.0</v>
      </c>
      <c r="I83" s="27">
        <v>2.0</v>
      </c>
      <c r="J83" s="31">
        <f t="shared" si="1"/>
        <v>9</v>
      </c>
      <c r="K83" s="27">
        <v>1.0</v>
      </c>
      <c r="L83" s="27">
        <v>2.0</v>
      </c>
      <c r="M83" s="30">
        <f t="shared" si="2"/>
        <v>3</v>
      </c>
      <c r="N83" s="32">
        <f t="shared" si="3"/>
        <v>17</v>
      </c>
      <c r="O83" s="56">
        <v>100.0</v>
      </c>
      <c r="P83" s="57">
        <v>100.0</v>
      </c>
      <c r="Q83" s="57">
        <v>100.0</v>
      </c>
      <c r="R83" s="56">
        <v>95.0</v>
      </c>
      <c r="S83" s="56">
        <v>95.0</v>
      </c>
      <c r="T83" s="56">
        <v>95.0</v>
      </c>
      <c r="U83" s="56">
        <v>100.0</v>
      </c>
      <c r="V83" s="56">
        <v>100.0</v>
      </c>
      <c r="W83" s="37">
        <v>100.0</v>
      </c>
      <c r="X83" s="37">
        <v>100.0</v>
      </c>
      <c r="Y83" s="37">
        <v>95.0</v>
      </c>
      <c r="Z83" s="37">
        <v>95.0</v>
      </c>
      <c r="AA83" s="37">
        <v>95.0</v>
      </c>
      <c r="AB83" s="38">
        <v>100.0</v>
      </c>
      <c r="AC83" s="38">
        <v>100.0</v>
      </c>
      <c r="AD83" s="39">
        <v>100.0</v>
      </c>
      <c r="AE83" s="40">
        <v>95.0</v>
      </c>
      <c r="AF83" s="40">
        <v>95.0</v>
      </c>
      <c r="AG83" s="39">
        <v>95.0</v>
      </c>
      <c r="AH83" s="39">
        <v>95.0</v>
      </c>
      <c r="AI83" s="41">
        <v>100.0</v>
      </c>
      <c r="AJ83" s="41">
        <v>100.0</v>
      </c>
      <c r="AK83" s="11">
        <v>100.0</v>
      </c>
      <c r="AL83" s="11">
        <v>100.0</v>
      </c>
      <c r="AM83" s="42">
        <f>ROUND(AVERAGE(O83:AL83),0)</f>
        <v>98</v>
      </c>
      <c r="AN83" s="11">
        <v>4.0</v>
      </c>
      <c r="AO83" s="11">
        <v>4.0</v>
      </c>
      <c r="AP83" s="11">
        <v>4.0</v>
      </c>
      <c r="AQ83" s="11">
        <v>4.0</v>
      </c>
      <c r="AR83" s="11">
        <v>4.0</v>
      </c>
      <c r="AS83" s="11">
        <v>4.0</v>
      </c>
      <c r="AT83" s="11">
        <v>4.0</v>
      </c>
      <c r="AU83" s="11">
        <v>4.0</v>
      </c>
      <c r="AV83" s="11">
        <v>4.0</v>
      </c>
      <c r="AW83" s="11">
        <f t="shared" si="12"/>
        <v>36</v>
      </c>
    </row>
    <row r="84" ht="15.75" customHeight="1">
      <c r="A84" s="27" t="s">
        <v>59</v>
      </c>
      <c r="B84" s="27" t="s">
        <v>233</v>
      </c>
      <c r="C84" s="11" t="s">
        <v>62</v>
      </c>
      <c r="D84" s="27" t="s">
        <v>65</v>
      </c>
      <c r="E84" s="27" t="s">
        <v>241</v>
      </c>
      <c r="F84" s="27">
        <v>5.0</v>
      </c>
      <c r="G84" s="27">
        <v>4.0</v>
      </c>
      <c r="H84" s="27">
        <v>3.0</v>
      </c>
      <c r="I84" s="27">
        <v>2.0</v>
      </c>
      <c r="J84" s="31">
        <f t="shared" si="1"/>
        <v>9</v>
      </c>
      <c r="K84" s="27">
        <v>1.0</v>
      </c>
      <c r="L84" s="27">
        <v>2.0</v>
      </c>
      <c r="M84" s="30">
        <f t="shared" si="2"/>
        <v>3</v>
      </c>
      <c r="N84" s="32">
        <f t="shared" si="3"/>
        <v>17</v>
      </c>
      <c r="O84" s="56">
        <v>5.0</v>
      </c>
      <c r="P84" s="57">
        <v>3.0</v>
      </c>
      <c r="Q84" s="57">
        <v>3.0</v>
      </c>
      <c r="R84" s="56">
        <v>4.0</v>
      </c>
      <c r="S84" s="56">
        <v>5.0</v>
      </c>
      <c r="T84" s="56">
        <v>3.0</v>
      </c>
      <c r="U84" s="56">
        <v>5.0</v>
      </c>
      <c r="V84" s="56">
        <v>4.0</v>
      </c>
      <c r="W84" s="37">
        <v>3.0</v>
      </c>
      <c r="X84" s="37">
        <v>3.0</v>
      </c>
      <c r="Y84" s="37">
        <v>3.0</v>
      </c>
      <c r="Z84" s="37">
        <v>3.0</v>
      </c>
      <c r="AA84" s="37">
        <v>4.0</v>
      </c>
      <c r="AB84" s="38">
        <v>3.0</v>
      </c>
      <c r="AC84" s="38">
        <v>3.0</v>
      </c>
      <c r="AD84" s="39">
        <v>3.0</v>
      </c>
      <c r="AE84" s="40">
        <v>5.0</v>
      </c>
      <c r="AF84" s="40">
        <v>5.0</v>
      </c>
      <c r="AG84" s="39">
        <v>3.0</v>
      </c>
      <c r="AH84" s="39">
        <v>3.0</v>
      </c>
      <c r="AI84" s="41">
        <v>3.0</v>
      </c>
      <c r="AJ84" s="41">
        <v>3.0</v>
      </c>
      <c r="AK84" s="11">
        <v>3.0</v>
      </c>
      <c r="AL84" s="11">
        <v>4.0</v>
      </c>
      <c r="AM84" s="64">
        <v>0.86</v>
      </c>
      <c r="AN84" s="11">
        <v>4.0</v>
      </c>
      <c r="AO84" s="11">
        <v>3.0</v>
      </c>
      <c r="AP84" s="11">
        <v>4.0</v>
      </c>
      <c r="AQ84" s="11">
        <v>3.0</v>
      </c>
      <c r="AR84" s="11">
        <v>3.0</v>
      </c>
      <c r="AS84" s="11">
        <v>4.0</v>
      </c>
      <c r="AT84" s="11">
        <v>3.0</v>
      </c>
      <c r="AU84" s="11">
        <v>3.0</v>
      </c>
      <c r="AV84" s="11">
        <v>3.0</v>
      </c>
      <c r="AW84" s="11">
        <f t="shared" si="12"/>
        <v>30</v>
      </c>
    </row>
    <row r="85" ht="15.75" customHeight="1">
      <c r="A85" s="1"/>
      <c r="B85" s="1"/>
      <c r="C85" s="1"/>
      <c r="D85" s="1"/>
      <c r="E85" s="1"/>
      <c r="F85" s="1"/>
      <c r="I85" s="1"/>
      <c r="J85" s="79"/>
      <c r="AM85" s="81"/>
    </row>
    <row r="86" ht="15.75" customHeight="1">
      <c r="A86" s="1"/>
      <c r="B86" s="1"/>
      <c r="C86" s="1"/>
      <c r="D86" s="1"/>
      <c r="E86" s="1"/>
      <c r="F86" s="1"/>
      <c r="I86" s="1"/>
      <c r="J86" s="79"/>
      <c r="AM86" s="81"/>
    </row>
    <row r="87" ht="15.75" customHeight="1">
      <c r="A87" s="1"/>
      <c r="B87" s="1"/>
      <c r="C87" s="1"/>
      <c r="D87" s="1"/>
      <c r="E87" s="1"/>
      <c r="F87" s="1"/>
      <c r="I87" s="1"/>
      <c r="J87" s="79"/>
      <c r="AM87" s="81"/>
    </row>
    <row r="88" ht="15.75" customHeight="1">
      <c r="A88" s="1"/>
      <c r="B88" s="1"/>
      <c r="C88" s="1"/>
      <c r="D88" s="1"/>
      <c r="E88" s="1"/>
      <c r="F88" s="1"/>
      <c r="I88" s="1"/>
      <c r="J88" s="79"/>
      <c r="AM88" s="81"/>
    </row>
    <row r="89" ht="15.75" customHeight="1">
      <c r="A89" s="1"/>
      <c r="B89" s="1"/>
      <c r="C89" s="1"/>
      <c r="D89" s="1"/>
      <c r="E89" s="1"/>
      <c r="F89" s="1"/>
      <c r="I89" s="1"/>
      <c r="J89" s="79"/>
      <c r="AM89" s="81"/>
    </row>
    <row r="90" ht="15.75" customHeight="1">
      <c r="A90" s="1"/>
      <c r="B90" s="1"/>
      <c r="C90" s="1"/>
      <c r="D90" s="1"/>
      <c r="E90" s="1"/>
      <c r="F90" s="1"/>
      <c r="I90" s="1"/>
      <c r="J90" s="79"/>
      <c r="AM90" s="81"/>
    </row>
    <row r="91" ht="15.75" customHeight="1">
      <c r="A91" s="1"/>
      <c r="B91" s="1"/>
      <c r="C91" s="1"/>
      <c r="D91" s="1"/>
      <c r="E91" s="1"/>
      <c r="F91" s="1"/>
      <c r="I91" s="1"/>
      <c r="J91" s="79"/>
      <c r="AM91" s="81"/>
    </row>
    <row r="92" ht="15.75" customHeight="1">
      <c r="A92" s="1"/>
      <c r="B92" s="1"/>
      <c r="C92" s="1"/>
      <c r="D92" s="1"/>
      <c r="E92" s="1"/>
      <c r="F92" s="1"/>
      <c r="I92" s="1"/>
      <c r="J92" s="79"/>
      <c r="AM92" s="81"/>
    </row>
    <row r="93" ht="15.75" customHeight="1">
      <c r="A93" s="1"/>
      <c r="B93" s="1"/>
      <c r="C93" s="1"/>
      <c r="D93" s="1"/>
      <c r="E93" s="1"/>
      <c r="F93" s="1"/>
      <c r="I93" s="1"/>
      <c r="J93" s="79"/>
      <c r="AM93" s="81"/>
    </row>
    <row r="94" ht="15.75" customHeight="1">
      <c r="A94" s="1"/>
      <c r="B94" s="1"/>
      <c r="C94" s="1"/>
      <c r="D94" s="1"/>
      <c r="E94" s="1"/>
      <c r="F94" s="1"/>
      <c r="I94" s="1"/>
      <c r="J94" s="79"/>
      <c r="AM94" s="81"/>
    </row>
    <row r="95" ht="15.75" customHeight="1">
      <c r="A95" s="1"/>
      <c r="B95" s="1"/>
      <c r="C95" s="1"/>
      <c r="D95" s="1"/>
      <c r="E95" s="1"/>
      <c r="F95" s="1"/>
      <c r="I95" s="1"/>
      <c r="J95" s="79"/>
      <c r="AM95" s="81"/>
    </row>
    <row r="96" ht="15.75" customHeight="1">
      <c r="A96" s="1"/>
      <c r="B96" s="1"/>
      <c r="C96" s="1"/>
      <c r="D96" s="1"/>
      <c r="E96" s="1"/>
      <c r="F96" s="1"/>
      <c r="I96" s="1"/>
      <c r="J96" s="79"/>
      <c r="AM96" s="81"/>
    </row>
    <row r="97" ht="15.75" customHeight="1">
      <c r="A97" s="1"/>
      <c r="B97" s="1"/>
      <c r="C97" s="1"/>
      <c r="D97" s="1"/>
      <c r="E97" s="1"/>
      <c r="F97" s="1"/>
      <c r="I97" s="1"/>
      <c r="J97" s="79"/>
      <c r="AM97" s="81"/>
    </row>
    <row r="98" ht="15.75" customHeight="1">
      <c r="A98" s="1"/>
      <c r="B98" s="1"/>
      <c r="C98" s="1"/>
      <c r="D98" s="1"/>
      <c r="E98" s="1"/>
      <c r="F98" s="1"/>
      <c r="I98" s="1"/>
      <c r="J98" s="79"/>
      <c r="AM98" s="81"/>
    </row>
    <row r="99" ht="15.75" customHeight="1">
      <c r="A99" s="1"/>
      <c r="B99" s="1"/>
      <c r="C99" s="1"/>
      <c r="D99" s="1"/>
      <c r="E99" s="1"/>
      <c r="F99" s="1"/>
      <c r="I99" s="1"/>
      <c r="J99" s="79"/>
      <c r="AM99" s="81"/>
    </row>
    <row r="100" ht="15.75" customHeight="1">
      <c r="A100" s="1"/>
      <c r="B100" s="1"/>
      <c r="C100" s="1"/>
      <c r="D100" s="1"/>
      <c r="E100" s="1"/>
      <c r="F100" s="1"/>
      <c r="I100" s="1"/>
      <c r="J100" s="79"/>
      <c r="AM100" s="81"/>
    </row>
    <row r="101" ht="15.75" customHeight="1">
      <c r="A101" s="1"/>
      <c r="B101" s="1"/>
      <c r="C101" s="1"/>
      <c r="D101" s="1"/>
      <c r="E101" s="1"/>
      <c r="F101" s="1"/>
      <c r="I101" s="1"/>
      <c r="J101" s="79"/>
      <c r="AM101" s="81"/>
    </row>
    <row r="102" ht="15.75" customHeight="1">
      <c r="A102" s="1"/>
      <c r="B102" s="1"/>
      <c r="C102" s="1"/>
      <c r="D102" s="1"/>
      <c r="E102" s="1"/>
      <c r="F102" s="1"/>
      <c r="I102" s="1"/>
      <c r="J102" s="79"/>
      <c r="AM102" s="81"/>
    </row>
    <row r="103" ht="15.75" customHeight="1">
      <c r="A103" s="1"/>
      <c r="B103" s="1"/>
      <c r="C103" s="1"/>
      <c r="D103" s="1"/>
      <c r="E103" s="1"/>
      <c r="F103" s="1"/>
      <c r="I103" s="1"/>
      <c r="J103" s="79"/>
      <c r="AM103" s="81"/>
    </row>
    <row r="104" ht="15.75" customHeight="1">
      <c r="A104" s="1"/>
      <c r="B104" s="1"/>
      <c r="C104" s="1"/>
      <c r="D104" s="1"/>
      <c r="E104" s="1"/>
      <c r="F104" s="1"/>
      <c r="I104" s="1"/>
      <c r="J104" s="79"/>
      <c r="AM104" s="81"/>
    </row>
    <row r="105" ht="15.75" customHeight="1">
      <c r="A105" s="1"/>
      <c r="B105" s="1"/>
      <c r="C105" s="1"/>
      <c r="D105" s="1"/>
      <c r="E105" s="1"/>
      <c r="F105" s="1"/>
      <c r="I105" s="1"/>
      <c r="J105" s="79"/>
      <c r="AM105" s="81"/>
    </row>
    <row r="106" ht="15.75" customHeight="1">
      <c r="A106" s="1"/>
      <c r="B106" s="1"/>
      <c r="C106" s="1"/>
      <c r="D106" s="1"/>
      <c r="E106" s="1"/>
      <c r="F106" s="1"/>
      <c r="I106" s="1"/>
      <c r="J106" s="79"/>
      <c r="AM106" s="81"/>
    </row>
    <row r="107" ht="15.75" customHeight="1">
      <c r="A107" s="1"/>
      <c r="B107" s="1"/>
      <c r="C107" s="1"/>
      <c r="D107" s="1"/>
      <c r="E107" s="1"/>
      <c r="F107" s="1"/>
      <c r="I107" s="1"/>
      <c r="J107" s="79"/>
      <c r="AM107" s="81"/>
    </row>
    <row r="108" ht="15.75" customHeight="1">
      <c r="A108" s="1"/>
      <c r="B108" s="1"/>
      <c r="C108" s="1"/>
      <c r="D108" s="1"/>
      <c r="E108" s="1"/>
      <c r="F108" s="1"/>
      <c r="I108" s="1"/>
      <c r="J108" s="79"/>
      <c r="AM108" s="81"/>
    </row>
    <row r="109" ht="15.75" customHeight="1">
      <c r="A109" s="1"/>
      <c r="B109" s="1"/>
      <c r="C109" s="1"/>
      <c r="D109" s="1"/>
      <c r="E109" s="1"/>
      <c r="F109" s="1"/>
      <c r="I109" s="1"/>
      <c r="J109" s="79"/>
      <c r="AM109" s="81"/>
    </row>
    <row r="110" ht="15.75" customHeight="1">
      <c r="A110" s="1"/>
      <c r="B110" s="1"/>
      <c r="C110" s="1"/>
      <c r="D110" s="1"/>
      <c r="E110" s="1"/>
      <c r="F110" s="1"/>
      <c r="I110" s="1"/>
      <c r="J110" s="79"/>
      <c r="AM110" s="81"/>
    </row>
    <row r="111" ht="15.75" customHeight="1">
      <c r="A111" s="1"/>
      <c r="B111" s="1"/>
      <c r="C111" s="1"/>
      <c r="D111" s="1"/>
      <c r="E111" s="1"/>
      <c r="F111" s="1"/>
      <c r="I111" s="1"/>
      <c r="J111" s="79"/>
      <c r="AM111" s="81"/>
    </row>
    <row r="112" ht="15.75" customHeight="1">
      <c r="A112" s="1"/>
      <c r="B112" s="1"/>
      <c r="C112" s="1"/>
      <c r="D112" s="1"/>
      <c r="E112" s="1"/>
      <c r="F112" s="1"/>
      <c r="I112" s="1"/>
      <c r="J112" s="79"/>
      <c r="AM112" s="81"/>
    </row>
    <row r="113" ht="15.75" customHeight="1">
      <c r="A113" s="1"/>
      <c r="B113" s="1"/>
      <c r="C113" s="1"/>
      <c r="D113" s="1"/>
      <c r="E113" s="1"/>
      <c r="F113" s="1"/>
      <c r="I113" s="1"/>
      <c r="J113" s="79"/>
      <c r="AM113" s="81"/>
    </row>
    <row r="114" ht="15.75" customHeight="1">
      <c r="A114" s="1"/>
      <c r="B114" s="1"/>
      <c r="C114" s="1"/>
      <c r="D114" s="1"/>
      <c r="E114" s="1"/>
      <c r="F114" s="1"/>
      <c r="I114" s="1"/>
      <c r="J114" s="79"/>
      <c r="AM114" s="81"/>
    </row>
    <row r="115" ht="15.75" customHeight="1">
      <c r="A115" s="1"/>
      <c r="B115" s="1"/>
      <c r="C115" s="1"/>
      <c r="D115" s="1"/>
      <c r="E115" s="1"/>
      <c r="F115" s="1"/>
      <c r="I115" s="1"/>
      <c r="J115" s="79"/>
      <c r="AM115" s="81"/>
    </row>
    <row r="116" ht="15.75" customHeight="1">
      <c r="A116" s="1"/>
      <c r="B116" s="1"/>
      <c r="C116" s="1"/>
      <c r="D116" s="1"/>
      <c r="E116" s="1"/>
      <c r="F116" s="1"/>
      <c r="I116" s="1"/>
      <c r="J116" s="79"/>
      <c r="AM116" s="81"/>
    </row>
    <row r="117" ht="15.75" customHeight="1">
      <c r="A117" s="1"/>
      <c r="B117" s="1"/>
      <c r="C117" s="1"/>
      <c r="D117" s="1"/>
      <c r="E117" s="1"/>
      <c r="F117" s="1"/>
      <c r="I117" s="1"/>
      <c r="J117" s="79"/>
      <c r="AM117" s="81"/>
    </row>
    <row r="118" ht="15.75" customHeight="1">
      <c r="A118" s="1"/>
      <c r="B118" s="1"/>
      <c r="C118" s="1"/>
      <c r="D118" s="1"/>
      <c r="E118" s="1"/>
      <c r="F118" s="1"/>
      <c r="I118" s="1"/>
      <c r="J118" s="79"/>
      <c r="AM118" s="81"/>
    </row>
    <row r="119" ht="15.75" customHeight="1">
      <c r="A119" s="1"/>
      <c r="B119" s="1"/>
      <c r="C119" s="1"/>
      <c r="D119" s="1"/>
      <c r="E119" s="1"/>
      <c r="F119" s="1"/>
      <c r="I119" s="1"/>
      <c r="J119" s="79"/>
      <c r="AM119" s="81"/>
    </row>
    <row r="120" ht="15.75" customHeight="1">
      <c r="A120" s="1"/>
      <c r="B120" s="1"/>
      <c r="C120" s="1"/>
      <c r="D120" s="1"/>
      <c r="E120" s="1"/>
      <c r="F120" s="1"/>
      <c r="I120" s="1"/>
      <c r="J120" s="79"/>
      <c r="AM120" s="81"/>
    </row>
    <row r="121" ht="15.75" customHeight="1">
      <c r="A121" s="1"/>
      <c r="B121" s="1"/>
      <c r="C121" s="1"/>
      <c r="D121" s="1"/>
      <c r="E121" s="1"/>
      <c r="F121" s="1"/>
      <c r="I121" s="1"/>
      <c r="J121" s="79"/>
      <c r="AM121" s="81"/>
    </row>
    <row r="122" ht="15.75" customHeight="1">
      <c r="A122" s="1"/>
      <c r="B122" s="1"/>
      <c r="C122" s="1"/>
      <c r="D122" s="1"/>
      <c r="E122" s="1"/>
      <c r="F122" s="1"/>
      <c r="I122" s="1"/>
      <c r="J122" s="79"/>
      <c r="AM122" s="81"/>
    </row>
    <row r="123" ht="15.75" customHeight="1">
      <c r="A123" s="1"/>
      <c r="B123" s="1"/>
      <c r="C123" s="1"/>
      <c r="D123" s="1"/>
      <c r="E123" s="1"/>
      <c r="F123" s="1"/>
      <c r="I123" s="1"/>
      <c r="J123" s="79"/>
      <c r="AM123" s="81"/>
    </row>
    <row r="124" ht="15.75" customHeight="1">
      <c r="A124" s="1"/>
      <c r="B124" s="1"/>
      <c r="C124" s="1"/>
      <c r="D124" s="1"/>
      <c r="E124" s="1"/>
      <c r="F124" s="1"/>
      <c r="I124" s="1"/>
      <c r="J124" s="79"/>
      <c r="AM124" s="81"/>
    </row>
    <row r="125" ht="15.75" customHeight="1">
      <c r="A125" s="1"/>
      <c r="B125" s="1"/>
      <c r="C125" s="1"/>
      <c r="D125" s="1"/>
      <c r="E125" s="1"/>
      <c r="F125" s="1"/>
      <c r="I125" s="1"/>
      <c r="J125" s="79"/>
      <c r="AM125" s="81"/>
    </row>
    <row r="126" ht="15.75" customHeight="1">
      <c r="A126" s="1"/>
      <c r="B126" s="1"/>
      <c r="C126" s="1"/>
      <c r="D126" s="1"/>
      <c r="E126" s="1"/>
      <c r="F126" s="1"/>
      <c r="I126" s="1"/>
      <c r="J126" s="79"/>
      <c r="AM126" s="81"/>
    </row>
    <row r="127" ht="15.75" customHeight="1">
      <c r="A127" s="1"/>
      <c r="B127" s="1"/>
      <c r="C127" s="1"/>
      <c r="D127" s="1"/>
      <c r="E127" s="1"/>
      <c r="F127" s="1"/>
      <c r="I127" s="1"/>
      <c r="J127" s="79"/>
      <c r="AM127" s="81"/>
    </row>
    <row r="128" ht="15.75" customHeight="1">
      <c r="A128" s="1"/>
      <c r="B128" s="1"/>
      <c r="C128" s="1"/>
      <c r="D128" s="1"/>
      <c r="E128" s="1"/>
      <c r="F128" s="1"/>
      <c r="I128" s="1"/>
      <c r="J128" s="79"/>
      <c r="AM128" s="81"/>
    </row>
    <row r="129" ht="15.75" customHeight="1">
      <c r="A129" s="1"/>
      <c r="B129" s="1"/>
      <c r="C129" s="1"/>
      <c r="D129" s="1"/>
      <c r="E129" s="1"/>
      <c r="F129" s="1"/>
      <c r="I129" s="1"/>
      <c r="J129" s="79"/>
      <c r="AM129" s="81"/>
    </row>
    <row r="130" ht="15.75" customHeight="1">
      <c r="A130" s="1"/>
      <c r="B130" s="1"/>
      <c r="C130" s="1"/>
      <c r="D130" s="1"/>
      <c r="E130" s="1"/>
      <c r="F130" s="1"/>
      <c r="I130" s="1"/>
      <c r="J130" s="79"/>
      <c r="AM130" s="81"/>
    </row>
    <row r="131" ht="15.75" customHeight="1">
      <c r="A131" s="1"/>
      <c r="B131" s="1"/>
      <c r="C131" s="1"/>
      <c r="D131" s="1"/>
      <c r="E131" s="1"/>
      <c r="F131" s="1"/>
      <c r="I131" s="1"/>
      <c r="J131" s="79"/>
      <c r="AM131" s="81"/>
    </row>
    <row r="132" ht="15.75" customHeight="1">
      <c r="A132" s="1"/>
      <c r="B132" s="1"/>
      <c r="C132" s="1"/>
      <c r="D132" s="1"/>
      <c r="E132" s="1"/>
      <c r="F132" s="1"/>
      <c r="I132" s="1"/>
      <c r="J132" s="79"/>
      <c r="AM132" s="81"/>
    </row>
    <row r="133" ht="15.75" customHeight="1">
      <c r="A133" s="1"/>
      <c r="B133" s="1"/>
      <c r="C133" s="1"/>
      <c r="D133" s="1"/>
      <c r="E133" s="1"/>
      <c r="F133" s="1"/>
      <c r="I133" s="1"/>
      <c r="J133" s="79"/>
      <c r="AM133" s="81"/>
    </row>
    <row r="134" ht="15.75" customHeight="1">
      <c r="A134" s="1"/>
      <c r="B134" s="1"/>
      <c r="C134" s="1"/>
      <c r="D134" s="1"/>
      <c r="E134" s="1"/>
      <c r="F134" s="1"/>
      <c r="I134" s="1"/>
      <c r="J134" s="79"/>
      <c r="AM134" s="81"/>
    </row>
    <row r="135" ht="15.75" customHeight="1">
      <c r="A135" s="1"/>
      <c r="B135" s="1"/>
      <c r="C135" s="1"/>
      <c r="D135" s="1"/>
      <c r="E135" s="1"/>
      <c r="F135" s="1"/>
      <c r="I135" s="1"/>
      <c r="J135" s="79"/>
      <c r="AM135" s="81"/>
    </row>
    <row r="136" ht="15.75" customHeight="1">
      <c r="A136" s="1"/>
      <c r="B136" s="1"/>
      <c r="C136" s="1"/>
      <c r="D136" s="1"/>
      <c r="E136" s="1"/>
      <c r="F136" s="1"/>
      <c r="I136" s="1"/>
      <c r="J136" s="79"/>
      <c r="AM136" s="81"/>
    </row>
    <row r="137" ht="15.75" customHeight="1">
      <c r="A137" s="1"/>
      <c r="B137" s="1"/>
      <c r="C137" s="1"/>
      <c r="D137" s="1"/>
      <c r="E137" s="1"/>
      <c r="F137" s="1"/>
      <c r="I137" s="1"/>
      <c r="J137" s="79"/>
      <c r="AM137" s="81"/>
    </row>
    <row r="138" ht="15.75" customHeight="1">
      <c r="A138" s="1"/>
      <c r="B138" s="1"/>
      <c r="C138" s="1"/>
      <c r="D138" s="1"/>
      <c r="E138" s="1"/>
      <c r="F138" s="1"/>
      <c r="I138" s="1"/>
      <c r="J138" s="79"/>
      <c r="AM138" s="81"/>
    </row>
    <row r="139" ht="15.75" customHeight="1">
      <c r="A139" s="1"/>
      <c r="B139" s="1"/>
      <c r="C139" s="1"/>
      <c r="D139" s="1"/>
      <c r="E139" s="1"/>
      <c r="F139" s="1"/>
      <c r="I139" s="1"/>
      <c r="J139" s="79"/>
      <c r="AM139" s="81"/>
    </row>
    <row r="140" ht="15.75" customHeight="1">
      <c r="A140" s="1"/>
      <c r="B140" s="1"/>
      <c r="C140" s="1"/>
      <c r="D140" s="1"/>
      <c r="E140" s="1"/>
      <c r="F140" s="1"/>
      <c r="I140" s="1"/>
      <c r="J140" s="79"/>
      <c r="AM140" s="81"/>
    </row>
    <row r="141" ht="15.75" customHeight="1">
      <c r="A141" s="1"/>
      <c r="B141" s="1"/>
      <c r="C141" s="1"/>
      <c r="D141" s="1"/>
      <c r="E141" s="1"/>
      <c r="F141" s="1"/>
      <c r="I141" s="1"/>
      <c r="J141" s="79"/>
      <c r="AM141" s="81"/>
    </row>
    <row r="142" ht="15.75" customHeight="1">
      <c r="A142" s="1"/>
      <c r="B142" s="1"/>
      <c r="C142" s="1"/>
      <c r="D142" s="1"/>
      <c r="E142" s="1"/>
      <c r="F142" s="1"/>
      <c r="I142" s="1"/>
      <c r="J142" s="79"/>
      <c r="AM142" s="81"/>
    </row>
    <row r="143" ht="15.75" customHeight="1">
      <c r="A143" s="1"/>
      <c r="B143" s="1"/>
      <c r="C143" s="1"/>
      <c r="D143" s="1"/>
      <c r="E143" s="1"/>
      <c r="F143" s="1"/>
      <c r="I143" s="1"/>
      <c r="J143" s="79"/>
      <c r="AM143" s="81"/>
    </row>
    <row r="144" ht="15.75" customHeight="1">
      <c r="A144" s="1"/>
      <c r="B144" s="1"/>
      <c r="C144" s="1"/>
      <c r="D144" s="1"/>
      <c r="E144" s="1"/>
      <c r="F144" s="1"/>
      <c r="I144" s="1"/>
      <c r="J144" s="79"/>
      <c r="AM144" s="81"/>
    </row>
    <row r="145" ht="15.75" customHeight="1">
      <c r="A145" s="1"/>
      <c r="B145" s="1"/>
      <c r="C145" s="1"/>
      <c r="D145" s="1"/>
      <c r="E145" s="1"/>
      <c r="F145" s="1"/>
      <c r="I145" s="1"/>
      <c r="J145" s="79"/>
      <c r="AM145" s="81"/>
    </row>
    <row r="146" ht="15.75" customHeight="1">
      <c r="A146" s="1"/>
      <c r="B146" s="1"/>
      <c r="C146" s="1"/>
      <c r="D146" s="1"/>
      <c r="E146" s="1"/>
      <c r="F146" s="1"/>
      <c r="I146" s="1"/>
      <c r="J146" s="79"/>
      <c r="AM146" s="81"/>
    </row>
    <row r="147" ht="15.75" customHeight="1">
      <c r="A147" s="1"/>
      <c r="B147" s="1"/>
      <c r="C147" s="1"/>
      <c r="D147" s="1"/>
      <c r="E147" s="1"/>
      <c r="F147" s="1"/>
      <c r="I147" s="1"/>
      <c r="J147" s="79"/>
      <c r="AM147" s="81"/>
    </row>
    <row r="148" ht="15.75" customHeight="1">
      <c r="A148" s="1"/>
      <c r="B148" s="1"/>
      <c r="C148" s="1"/>
      <c r="D148" s="1"/>
      <c r="E148" s="1"/>
      <c r="F148" s="1"/>
      <c r="I148" s="1"/>
      <c r="J148" s="79"/>
      <c r="AM148" s="81"/>
    </row>
    <row r="149" ht="15.75" customHeight="1">
      <c r="A149" s="1"/>
      <c r="B149" s="1"/>
      <c r="C149" s="1"/>
      <c r="D149" s="1"/>
      <c r="E149" s="1"/>
      <c r="F149" s="1"/>
      <c r="I149" s="1"/>
      <c r="J149" s="79"/>
      <c r="AM149" s="81"/>
    </row>
    <row r="150" ht="15.75" customHeight="1">
      <c r="A150" s="1"/>
      <c r="B150" s="1"/>
      <c r="C150" s="1"/>
      <c r="D150" s="1"/>
      <c r="E150" s="1"/>
      <c r="F150" s="1"/>
      <c r="I150" s="1"/>
      <c r="J150" s="79"/>
      <c r="AM150" s="81"/>
    </row>
    <row r="151" ht="15.75" customHeight="1">
      <c r="A151" s="1"/>
      <c r="B151" s="1"/>
      <c r="C151" s="1"/>
      <c r="D151" s="1"/>
      <c r="E151" s="1"/>
      <c r="F151" s="1"/>
      <c r="I151" s="1"/>
      <c r="J151" s="79"/>
      <c r="AM151" s="81"/>
    </row>
    <row r="152" ht="15.75" customHeight="1">
      <c r="A152" s="1"/>
      <c r="B152" s="1"/>
      <c r="C152" s="1"/>
      <c r="D152" s="1"/>
      <c r="E152" s="1"/>
      <c r="F152" s="1"/>
      <c r="I152" s="1"/>
      <c r="J152" s="79"/>
      <c r="AM152" s="81"/>
    </row>
    <row r="153" ht="15.75" customHeight="1">
      <c r="A153" s="1"/>
      <c r="B153" s="1"/>
      <c r="C153" s="1"/>
      <c r="D153" s="1"/>
      <c r="E153" s="1"/>
      <c r="F153" s="1"/>
      <c r="I153" s="1"/>
      <c r="J153" s="79"/>
      <c r="AM153" s="81"/>
    </row>
    <row r="154" ht="15.75" customHeight="1">
      <c r="A154" s="1"/>
      <c r="B154" s="1"/>
      <c r="C154" s="1"/>
      <c r="D154" s="1"/>
      <c r="E154" s="1"/>
      <c r="F154" s="1"/>
      <c r="I154" s="1"/>
      <c r="J154" s="79"/>
      <c r="AM154" s="81"/>
    </row>
    <row r="155" ht="15.75" customHeight="1">
      <c r="A155" s="1"/>
      <c r="B155" s="1"/>
      <c r="C155" s="1"/>
      <c r="D155" s="1"/>
      <c r="E155" s="1"/>
      <c r="F155" s="1"/>
      <c r="I155" s="1"/>
      <c r="J155" s="79"/>
      <c r="AM155" s="81"/>
    </row>
    <row r="156" ht="15.75" customHeight="1">
      <c r="A156" s="1"/>
      <c r="B156" s="1"/>
      <c r="C156" s="1"/>
      <c r="D156" s="1"/>
      <c r="E156" s="1"/>
      <c r="F156" s="1"/>
      <c r="I156" s="1"/>
      <c r="J156" s="79"/>
      <c r="AM156" s="81"/>
    </row>
    <row r="157" ht="15.75" customHeight="1">
      <c r="A157" s="1"/>
      <c r="B157" s="1"/>
      <c r="C157" s="1"/>
      <c r="D157" s="1"/>
      <c r="E157" s="1"/>
      <c r="F157" s="1"/>
      <c r="I157" s="1"/>
      <c r="J157" s="79"/>
      <c r="AM157" s="81"/>
    </row>
    <row r="158" ht="15.75" customHeight="1">
      <c r="A158" s="1"/>
      <c r="B158" s="1"/>
      <c r="C158" s="1"/>
      <c r="D158" s="1"/>
      <c r="E158" s="1"/>
      <c r="F158" s="1"/>
      <c r="I158" s="1"/>
      <c r="J158" s="79"/>
      <c r="AM158" s="81"/>
    </row>
    <row r="159" ht="15.75" customHeight="1">
      <c r="A159" s="1"/>
      <c r="B159" s="1"/>
      <c r="C159" s="1"/>
      <c r="D159" s="1"/>
      <c r="E159" s="1"/>
      <c r="F159" s="1"/>
      <c r="I159" s="1"/>
      <c r="J159" s="79"/>
      <c r="AM159" s="81"/>
    </row>
    <row r="160" ht="15.75" customHeight="1">
      <c r="A160" s="1"/>
      <c r="B160" s="1"/>
      <c r="C160" s="1"/>
      <c r="D160" s="1"/>
      <c r="E160" s="1"/>
      <c r="F160" s="1"/>
      <c r="I160" s="1"/>
      <c r="J160" s="79"/>
      <c r="AM160" s="81"/>
    </row>
    <row r="161" ht="15.75" customHeight="1">
      <c r="A161" s="1"/>
      <c r="B161" s="1"/>
      <c r="C161" s="1"/>
      <c r="D161" s="1"/>
      <c r="E161" s="1"/>
      <c r="F161" s="1"/>
      <c r="I161" s="1"/>
      <c r="J161" s="79"/>
      <c r="AM161" s="81"/>
    </row>
    <row r="162" ht="15.75" customHeight="1">
      <c r="A162" s="1"/>
      <c r="B162" s="1"/>
      <c r="C162" s="1"/>
      <c r="D162" s="1"/>
      <c r="E162" s="1"/>
      <c r="F162" s="1"/>
      <c r="I162" s="1"/>
      <c r="J162" s="79"/>
      <c r="AM162" s="81"/>
    </row>
    <row r="163" ht="15.75" customHeight="1">
      <c r="A163" s="1"/>
      <c r="B163" s="1"/>
      <c r="C163" s="1"/>
      <c r="D163" s="1"/>
      <c r="E163" s="1"/>
      <c r="F163" s="1"/>
      <c r="I163" s="1"/>
      <c r="J163" s="79"/>
      <c r="AM163" s="81"/>
    </row>
    <row r="164" ht="15.75" customHeight="1">
      <c r="A164" s="1"/>
      <c r="B164" s="1"/>
      <c r="C164" s="1"/>
      <c r="D164" s="1"/>
      <c r="E164" s="1"/>
      <c r="F164" s="1"/>
      <c r="I164" s="1"/>
      <c r="J164" s="79"/>
      <c r="AM164" s="81"/>
    </row>
    <row r="165" ht="15.75" customHeight="1">
      <c r="A165" s="1"/>
      <c r="B165" s="1"/>
      <c r="C165" s="1"/>
      <c r="D165" s="1"/>
      <c r="E165" s="1"/>
      <c r="F165" s="1"/>
      <c r="I165" s="1"/>
      <c r="J165" s="79"/>
      <c r="AM165" s="81"/>
    </row>
    <row r="166" ht="15.75" customHeight="1">
      <c r="A166" s="1"/>
      <c r="B166" s="1"/>
      <c r="C166" s="1"/>
      <c r="D166" s="1"/>
      <c r="E166" s="1"/>
      <c r="F166" s="1"/>
      <c r="I166" s="1"/>
      <c r="J166" s="79"/>
      <c r="AM166" s="81"/>
    </row>
    <row r="167" ht="15.75" customHeight="1">
      <c r="A167" s="1"/>
      <c r="B167" s="1"/>
      <c r="C167" s="1"/>
      <c r="D167" s="1"/>
      <c r="E167" s="1"/>
      <c r="F167" s="1"/>
      <c r="I167" s="1"/>
      <c r="J167" s="79"/>
      <c r="AM167" s="81"/>
    </row>
    <row r="168" ht="15.75" customHeight="1">
      <c r="A168" s="1"/>
      <c r="B168" s="1"/>
      <c r="C168" s="1"/>
      <c r="D168" s="1"/>
      <c r="E168" s="1"/>
      <c r="F168" s="1"/>
      <c r="I168" s="1"/>
      <c r="J168" s="79"/>
      <c r="AM168" s="81"/>
    </row>
    <row r="169" ht="15.75" customHeight="1">
      <c r="A169" s="1"/>
      <c r="B169" s="1"/>
      <c r="C169" s="1"/>
      <c r="D169" s="1"/>
      <c r="E169" s="1"/>
      <c r="F169" s="1"/>
      <c r="I169" s="1"/>
      <c r="J169" s="79"/>
      <c r="AM169" s="81"/>
    </row>
    <row r="170" ht="15.75" customHeight="1">
      <c r="A170" s="1"/>
      <c r="B170" s="1"/>
      <c r="C170" s="1"/>
      <c r="D170" s="1"/>
      <c r="E170" s="1"/>
      <c r="F170" s="1"/>
      <c r="I170" s="1"/>
      <c r="J170" s="79"/>
      <c r="AM170" s="81"/>
    </row>
    <row r="171" ht="15.75" customHeight="1">
      <c r="A171" s="1"/>
      <c r="B171" s="1"/>
      <c r="C171" s="1"/>
      <c r="D171" s="1"/>
      <c r="E171" s="1"/>
      <c r="F171" s="1"/>
      <c r="I171" s="1"/>
      <c r="J171" s="79"/>
      <c r="AM171" s="81"/>
    </row>
    <row r="172" ht="15.75" customHeight="1">
      <c r="A172" s="1"/>
      <c r="B172" s="1"/>
      <c r="C172" s="1"/>
      <c r="D172" s="1"/>
      <c r="E172" s="1"/>
      <c r="F172" s="1"/>
      <c r="I172" s="1"/>
      <c r="J172" s="79"/>
      <c r="AM172" s="81"/>
    </row>
    <row r="173" ht="15.75" customHeight="1">
      <c r="A173" s="1"/>
      <c r="B173" s="1"/>
      <c r="C173" s="1"/>
      <c r="D173" s="1"/>
      <c r="E173" s="1"/>
      <c r="F173" s="1"/>
      <c r="I173" s="1"/>
      <c r="J173" s="79"/>
      <c r="AM173" s="81"/>
    </row>
    <row r="174" ht="15.75" customHeight="1">
      <c r="A174" s="1"/>
      <c r="B174" s="1"/>
      <c r="C174" s="1"/>
      <c r="D174" s="1"/>
      <c r="E174" s="1"/>
      <c r="F174" s="1"/>
      <c r="I174" s="1"/>
      <c r="J174" s="79"/>
      <c r="AM174" s="81"/>
    </row>
    <row r="175" ht="15.75" customHeight="1">
      <c r="A175" s="1"/>
      <c r="B175" s="1"/>
      <c r="C175" s="1"/>
      <c r="D175" s="1"/>
      <c r="E175" s="1"/>
      <c r="F175" s="1"/>
      <c r="I175" s="1"/>
      <c r="J175" s="79"/>
      <c r="AM175" s="81"/>
    </row>
    <row r="176" ht="15.75" customHeight="1">
      <c r="A176" s="1"/>
      <c r="B176" s="1"/>
      <c r="C176" s="1"/>
      <c r="D176" s="1"/>
      <c r="E176" s="1"/>
      <c r="F176" s="1"/>
      <c r="I176" s="1"/>
      <c r="J176" s="79"/>
      <c r="AM176" s="81"/>
    </row>
    <row r="177" ht="15.75" customHeight="1">
      <c r="A177" s="1"/>
      <c r="B177" s="1"/>
      <c r="C177" s="1"/>
      <c r="D177" s="1"/>
      <c r="E177" s="1"/>
      <c r="F177" s="1"/>
      <c r="I177" s="1"/>
      <c r="J177" s="79"/>
      <c r="AM177" s="81"/>
    </row>
    <row r="178" ht="15.75" customHeight="1">
      <c r="A178" s="1"/>
      <c r="B178" s="1"/>
      <c r="C178" s="1"/>
      <c r="D178" s="1"/>
      <c r="E178" s="1"/>
      <c r="F178" s="1"/>
      <c r="I178" s="1"/>
      <c r="J178" s="79"/>
      <c r="AM178" s="81"/>
    </row>
    <row r="179" ht="15.75" customHeight="1">
      <c r="A179" s="1"/>
      <c r="B179" s="1"/>
      <c r="C179" s="1"/>
      <c r="D179" s="1"/>
      <c r="E179" s="1"/>
      <c r="F179" s="1"/>
      <c r="I179" s="1"/>
      <c r="J179" s="79"/>
      <c r="AM179" s="81"/>
    </row>
    <row r="180" ht="15.75" customHeight="1">
      <c r="A180" s="1"/>
      <c r="B180" s="1"/>
      <c r="C180" s="1"/>
      <c r="D180" s="1"/>
      <c r="E180" s="1"/>
      <c r="F180" s="1"/>
      <c r="I180" s="1"/>
      <c r="J180" s="79"/>
      <c r="AM180" s="81"/>
    </row>
    <row r="181" ht="15.75" customHeight="1">
      <c r="A181" s="1"/>
      <c r="B181" s="1"/>
      <c r="C181" s="1"/>
      <c r="D181" s="1"/>
      <c r="E181" s="1"/>
      <c r="F181" s="1"/>
      <c r="I181" s="1"/>
      <c r="J181" s="79"/>
      <c r="AM181" s="81"/>
    </row>
    <row r="182" ht="15.75" customHeight="1">
      <c r="A182" s="1"/>
      <c r="B182" s="1"/>
      <c r="C182" s="1"/>
      <c r="D182" s="1"/>
      <c r="E182" s="1"/>
      <c r="F182" s="1"/>
      <c r="I182" s="1"/>
      <c r="J182" s="79"/>
      <c r="AM182" s="81"/>
    </row>
    <row r="183" ht="15.75" customHeight="1">
      <c r="A183" s="1"/>
      <c r="B183" s="1"/>
      <c r="C183" s="1"/>
      <c r="D183" s="1"/>
      <c r="E183" s="1"/>
      <c r="F183" s="1"/>
      <c r="I183" s="1"/>
      <c r="J183" s="79"/>
      <c r="AM183" s="81"/>
    </row>
    <row r="184" ht="15.75" customHeight="1">
      <c r="A184" s="1"/>
      <c r="B184" s="1"/>
      <c r="C184" s="1"/>
      <c r="D184" s="1"/>
      <c r="E184" s="1"/>
      <c r="F184" s="1"/>
      <c r="I184" s="1"/>
      <c r="J184" s="79"/>
      <c r="AM184" s="81"/>
    </row>
    <row r="185" ht="15.75" customHeight="1">
      <c r="A185" s="1"/>
      <c r="B185" s="1"/>
      <c r="C185" s="1"/>
      <c r="D185" s="1"/>
      <c r="E185" s="1"/>
      <c r="F185" s="1"/>
      <c r="I185" s="1"/>
      <c r="J185" s="79"/>
      <c r="AM185" s="81"/>
    </row>
    <row r="186" ht="15.75" customHeight="1">
      <c r="A186" s="1"/>
      <c r="B186" s="1"/>
      <c r="C186" s="1"/>
      <c r="D186" s="1"/>
      <c r="E186" s="1"/>
      <c r="F186" s="1"/>
      <c r="I186" s="1"/>
      <c r="J186" s="79"/>
      <c r="AM186" s="81"/>
    </row>
    <row r="187" ht="15.75" customHeight="1">
      <c r="A187" s="1"/>
      <c r="B187" s="1"/>
      <c r="C187" s="1"/>
      <c r="D187" s="1"/>
      <c r="E187" s="1"/>
      <c r="F187" s="1"/>
      <c r="I187" s="1"/>
      <c r="J187" s="79"/>
      <c r="AM187" s="81"/>
    </row>
    <row r="188" ht="15.75" customHeight="1">
      <c r="A188" s="1"/>
      <c r="B188" s="1"/>
      <c r="C188" s="1"/>
      <c r="D188" s="1"/>
      <c r="E188" s="1"/>
      <c r="F188" s="1"/>
      <c r="I188" s="1"/>
      <c r="J188" s="79"/>
      <c r="AM188" s="81"/>
    </row>
    <row r="189" ht="15.75" customHeight="1">
      <c r="A189" s="1"/>
      <c r="B189" s="1"/>
      <c r="C189" s="1"/>
      <c r="D189" s="1"/>
      <c r="E189" s="1"/>
      <c r="F189" s="1"/>
      <c r="I189" s="1"/>
      <c r="J189" s="79"/>
      <c r="AM189" s="81"/>
    </row>
    <row r="190" ht="15.75" customHeight="1">
      <c r="A190" s="1"/>
      <c r="B190" s="1"/>
      <c r="C190" s="1"/>
      <c r="D190" s="1"/>
      <c r="E190" s="1"/>
      <c r="F190" s="1"/>
      <c r="I190" s="1"/>
      <c r="J190" s="79"/>
      <c r="AM190" s="81"/>
    </row>
    <row r="191" ht="15.75" customHeight="1">
      <c r="A191" s="1"/>
      <c r="B191" s="1"/>
      <c r="C191" s="1"/>
      <c r="D191" s="1"/>
      <c r="E191" s="1"/>
      <c r="F191" s="1"/>
      <c r="I191" s="1"/>
      <c r="J191" s="79"/>
      <c r="AM191" s="81"/>
    </row>
    <row r="192" ht="15.75" customHeight="1">
      <c r="A192" s="1"/>
      <c r="B192" s="1"/>
      <c r="C192" s="1"/>
      <c r="D192" s="1"/>
      <c r="E192" s="1"/>
      <c r="F192" s="1"/>
      <c r="I192" s="1"/>
      <c r="J192" s="79"/>
      <c r="AM192" s="81"/>
    </row>
    <row r="193" ht="15.75" customHeight="1">
      <c r="A193" s="1"/>
      <c r="B193" s="1"/>
      <c r="C193" s="1"/>
      <c r="D193" s="1"/>
      <c r="E193" s="1"/>
      <c r="F193" s="1"/>
      <c r="I193" s="1"/>
      <c r="J193" s="79"/>
      <c r="AM193" s="81"/>
    </row>
    <row r="194" ht="15.75" customHeight="1">
      <c r="A194" s="1"/>
      <c r="B194" s="1"/>
      <c r="C194" s="1"/>
      <c r="D194" s="1"/>
      <c r="E194" s="1"/>
      <c r="F194" s="1"/>
      <c r="I194" s="1"/>
      <c r="J194" s="79"/>
      <c r="AM194" s="81"/>
    </row>
    <row r="195" ht="15.75" customHeight="1">
      <c r="A195" s="1"/>
      <c r="B195" s="1"/>
      <c r="C195" s="1"/>
      <c r="D195" s="1"/>
      <c r="E195" s="1"/>
      <c r="F195" s="1"/>
      <c r="I195" s="1"/>
      <c r="J195" s="79"/>
      <c r="AM195" s="81"/>
    </row>
    <row r="196" ht="15.75" customHeight="1">
      <c r="A196" s="1"/>
      <c r="B196" s="1"/>
      <c r="C196" s="1"/>
      <c r="D196" s="1"/>
      <c r="E196" s="1"/>
      <c r="F196" s="1"/>
      <c r="I196" s="1"/>
      <c r="J196" s="79"/>
      <c r="AM196" s="81"/>
    </row>
    <row r="197" ht="15.75" customHeight="1">
      <c r="A197" s="1"/>
      <c r="B197" s="1"/>
      <c r="C197" s="1"/>
      <c r="D197" s="1"/>
      <c r="E197" s="1"/>
      <c r="F197" s="1"/>
      <c r="I197" s="1"/>
      <c r="J197" s="79"/>
      <c r="AM197" s="81"/>
    </row>
    <row r="198" ht="15.75" customHeight="1">
      <c r="A198" s="1"/>
      <c r="B198" s="1"/>
      <c r="C198" s="1"/>
      <c r="D198" s="1"/>
      <c r="E198" s="1"/>
      <c r="F198" s="1"/>
      <c r="I198" s="1"/>
      <c r="J198" s="79"/>
      <c r="AM198" s="81"/>
    </row>
    <row r="199" ht="15.75" customHeight="1">
      <c r="A199" s="1"/>
      <c r="B199" s="1"/>
      <c r="C199" s="1"/>
      <c r="D199" s="1"/>
      <c r="E199" s="1"/>
      <c r="F199" s="1"/>
      <c r="I199" s="1"/>
      <c r="J199" s="79"/>
      <c r="AM199" s="81"/>
    </row>
    <row r="200" ht="15.75" customHeight="1">
      <c r="A200" s="1"/>
      <c r="B200" s="1"/>
      <c r="C200" s="1"/>
      <c r="D200" s="1"/>
      <c r="E200" s="1"/>
      <c r="F200" s="1"/>
      <c r="I200" s="1"/>
      <c r="J200" s="79"/>
      <c r="AM200" s="81"/>
    </row>
    <row r="201" ht="15.75" customHeight="1">
      <c r="A201" s="1"/>
      <c r="B201" s="1"/>
      <c r="C201" s="1"/>
      <c r="D201" s="1"/>
      <c r="E201" s="1"/>
      <c r="F201" s="1"/>
      <c r="I201" s="1"/>
      <c r="J201" s="79"/>
      <c r="AM201" s="81"/>
    </row>
    <row r="202" ht="15.75" customHeight="1">
      <c r="A202" s="1"/>
      <c r="B202" s="1"/>
      <c r="C202" s="1"/>
      <c r="D202" s="1"/>
      <c r="E202" s="1"/>
      <c r="F202" s="1"/>
      <c r="I202" s="1"/>
      <c r="J202" s="79"/>
      <c r="AM202" s="81"/>
    </row>
    <row r="203" ht="15.75" customHeight="1">
      <c r="A203" s="1"/>
      <c r="B203" s="1"/>
      <c r="C203" s="1"/>
      <c r="D203" s="1"/>
      <c r="E203" s="1"/>
      <c r="F203" s="1"/>
      <c r="I203" s="1"/>
      <c r="J203" s="79"/>
      <c r="AM203" s="81"/>
    </row>
    <row r="204" ht="15.75" customHeight="1">
      <c r="A204" s="1"/>
      <c r="B204" s="1"/>
      <c r="C204" s="1"/>
      <c r="D204" s="1"/>
      <c r="E204" s="1"/>
      <c r="F204" s="1"/>
      <c r="I204" s="1"/>
      <c r="J204" s="79"/>
      <c r="AM204" s="81"/>
    </row>
    <row r="205" ht="15.75" customHeight="1">
      <c r="A205" s="1"/>
      <c r="B205" s="1"/>
      <c r="C205" s="1"/>
      <c r="D205" s="1"/>
      <c r="E205" s="1"/>
      <c r="F205" s="1"/>
      <c r="I205" s="1"/>
      <c r="J205" s="79"/>
      <c r="AM205" s="81"/>
    </row>
    <row r="206" ht="15.75" customHeight="1">
      <c r="A206" s="1"/>
      <c r="B206" s="1"/>
      <c r="C206" s="1"/>
      <c r="D206" s="1"/>
      <c r="E206" s="1"/>
      <c r="F206" s="1"/>
      <c r="I206" s="1"/>
      <c r="J206" s="79"/>
      <c r="AM206" s="81"/>
    </row>
    <row r="207" ht="15.75" customHeight="1">
      <c r="A207" s="1"/>
      <c r="B207" s="1"/>
      <c r="C207" s="1"/>
      <c r="D207" s="1"/>
      <c r="E207" s="1"/>
      <c r="F207" s="1"/>
      <c r="I207" s="1"/>
      <c r="J207" s="79"/>
      <c r="AM207" s="81"/>
    </row>
    <row r="208" ht="15.75" customHeight="1">
      <c r="A208" s="1"/>
      <c r="B208" s="1"/>
      <c r="C208" s="1"/>
      <c r="D208" s="1"/>
      <c r="E208" s="1"/>
      <c r="F208" s="1"/>
      <c r="I208" s="1"/>
      <c r="J208" s="79"/>
      <c r="AM208" s="81"/>
    </row>
    <row r="209" ht="15.75" customHeight="1">
      <c r="A209" s="1"/>
      <c r="B209" s="1"/>
      <c r="C209" s="1"/>
      <c r="D209" s="1"/>
      <c r="E209" s="1"/>
      <c r="F209" s="1"/>
      <c r="I209" s="1"/>
      <c r="J209" s="79"/>
      <c r="AM209" s="81"/>
    </row>
    <row r="210" ht="15.75" customHeight="1">
      <c r="A210" s="1"/>
      <c r="B210" s="1"/>
      <c r="C210" s="1"/>
      <c r="D210" s="1"/>
      <c r="E210" s="1"/>
      <c r="F210" s="1"/>
      <c r="I210" s="1"/>
      <c r="J210" s="79"/>
      <c r="AM210" s="81"/>
    </row>
    <row r="211" ht="15.75" customHeight="1">
      <c r="A211" s="1"/>
      <c r="B211" s="1"/>
      <c r="C211" s="1"/>
      <c r="D211" s="1"/>
      <c r="E211" s="1"/>
      <c r="F211" s="1"/>
      <c r="I211" s="1"/>
      <c r="J211" s="79"/>
      <c r="AM211" s="81"/>
    </row>
    <row r="212" ht="15.75" customHeight="1">
      <c r="A212" s="1"/>
      <c r="B212" s="1"/>
      <c r="C212" s="1"/>
      <c r="D212" s="1"/>
      <c r="E212" s="1"/>
      <c r="F212" s="1"/>
      <c r="I212" s="1"/>
      <c r="J212" s="79"/>
      <c r="AM212" s="81"/>
    </row>
    <row r="213" ht="15.75" customHeight="1">
      <c r="A213" s="1"/>
      <c r="B213" s="1"/>
      <c r="C213" s="1"/>
      <c r="D213" s="1"/>
      <c r="E213" s="1"/>
      <c r="F213" s="1"/>
      <c r="I213" s="1"/>
      <c r="J213" s="79"/>
      <c r="AM213" s="81"/>
    </row>
    <row r="214" ht="15.75" customHeight="1">
      <c r="A214" s="1"/>
      <c r="B214" s="1"/>
      <c r="C214" s="1"/>
      <c r="D214" s="1"/>
      <c r="E214" s="1"/>
      <c r="F214" s="1"/>
      <c r="I214" s="1"/>
      <c r="J214" s="79"/>
      <c r="AM214" s="81"/>
    </row>
    <row r="215" ht="15.75" customHeight="1">
      <c r="A215" s="1"/>
      <c r="B215" s="1"/>
      <c r="C215" s="1"/>
      <c r="D215" s="1"/>
      <c r="E215" s="1"/>
      <c r="F215" s="1"/>
      <c r="I215" s="1"/>
      <c r="J215" s="79"/>
      <c r="AM215" s="81"/>
    </row>
    <row r="216" ht="15.75" customHeight="1">
      <c r="A216" s="1"/>
      <c r="B216" s="1"/>
      <c r="C216" s="1"/>
      <c r="D216" s="1"/>
      <c r="E216" s="1"/>
      <c r="F216" s="1"/>
      <c r="I216" s="1"/>
      <c r="J216" s="79"/>
      <c r="AM216" s="81"/>
    </row>
    <row r="217" ht="15.75" customHeight="1">
      <c r="A217" s="1"/>
      <c r="B217" s="1"/>
      <c r="C217" s="1"/>
      <c r="D217" s="1"/>
      <c r="E217" s="1"/>
      <c r="F217" s="1"/>
      <c r="I217" s="1"/>
      <c r="J217" s="79"/>
      <c r="AM217" s="81"/>
    </row>
    <row r="218" ht="15.75" customHeight="1">
      <c r="A218" s="1"/>
      <c r="B218" s="1"/>
      <c r="C218" s="1"/>
      <c r="D218" s="1"/>
      <c r="E218" s="1"/>
      <c r="F218" s="1"/>
      <c r="I218" s="1"/>
      <c r="J218" s="79"/>
      <c r="AM218" s="81"/>
    </row>
    <row r="219" ht="15.75" customHeight="1">
      <c r="A219" s="1"/>
      <c r="B219" s="1"/>
      <c r="C219" s="1"/>
      <c r="D219" s="1"/>
      <c r="E219" s="1"/>
      <c r="F219" s="1"/>
      <c r="I219" s="1"/>
      <c r="J219" s="79"/>
      <c r="AM219" s="81"/>
    </row>
    <row r="220" ht="15.75" customHeight="1">
      <c r="A220" s="1"/>
      <c r="B220" s="1"/>
      <c r="C220" s="1"/>
      <c r="D220" s="1"/>
      <c r="E220" s="1"/>
      <c r="F220" s="1"/>
      <c r="I220" s="1"/>
      <c r="J220" s="79"/>
      <c r="AM220" s="81"/>
    </row>
    <row r="221" ht="15.75" customHeight="1">
      <c r="A221" s="1"/>
      <c r="B221" s="1"/>
      <c r="C221" s="1"/>
      <c r="D221" s="1"/>
      <c r="E221" s="1"/>
      <c r="F221" s="1"/>
      <c r="I221" s="1"/>
      <c r="J221" s="79"/>
      <c r="AM221" s="81"/>
    </row>
    <row r="222" ht="15.75" customHeight="1">
      <c r="A222" s="1"/>
      <c r="B222" s="1"/>
      <c r="C222" s="1"/>
      <c r="D222" s="1"/>
      <c r="E222" s="1"/>
      <c r="F222" s="1"/>
      <c r="I222" s="1"/>
      <c r="J222" s="79"/>
      <c r="AM222" s="81"/>
    </row>
    <row r="223" ht="15.75" customHeight="1">
      <c r="A223" s="1"/>
      <c r="B223" s="1"/>
      <c r="C223" s="1"/>
      <c r="D223" s="1"/>
      <c r="E223" s="1"/>
      <c r="F223" s="1"/>
      <c r="I223" s="1"/>
      <c r="J223" s="79"/>
      <c r="AM223" s="81"/>
    </row>
    <row r="224" ht="15.75" customHeight="1">
      <c r="A224" s="1"/>
      <c r="B224" s="1"/>
      <c r="C224" s="1"/>
      <c r="D224" s="1"/>
      <c r="E224" s="1"/>
      <c r="F224" s="1"/>
      <c r="I224" s="1"/>
      <c r="J224" s="79"/>
      <c r="AM224" s="81"/>
    </row>
    <row r="225" ht="15.75" customHeight="1">
      <c r="A225" s="1"/>
      <c r="B225" s="1"/>
      <c r="C225" s="1"/>
      <c r="D225" s="1"/>
      <c r="E225" s="1"/>
      <c r="F225" s="1"/>
      <c r="I225" s="1"/>
      <c r="J225" s="79"/>
      <c r="AM225" s="81"/>
    </row>
    <row r="226" ht="15.75" customHeight="1">
      <c r="A226" s="1"/>
      <c r="B226" s="1"/>
      <c r="C226" s="1"/>
      <c r="D226" s="1"/>
      <c r="E226" s="1"/>
      <c r="F226" s="1"/>
      <c r="I226" s="1"/>
      <c r="J226" s="79"/>
      <c r="AM226" s="81"/>
    </row>
    <row r="227" ht="15.75" customHeight="1">
      <c r="A227" s="1"/>
      <c r="B227" s="1"/>
      <c r="C227" s="1"/>
      <c r="D227" s="1"/>
      <c r="E227" s="1"/>
      <c r="F227" s="1"/>
      <c r="I227" s="1"/>
      <c r="J227" s="79"/>
      <c r="AM227" s="81"/>
    </row>
    <row r="228" ht="15.75" customHeight="1">
      <c r="A228" s="1"/>
      <c r="B228" s="1"/>
      <c r="C228" s="1"/>
      <c r="D228" s="1"/>
      <c r="E228" s="1"/>
      <c r="F228" s="1"/>
      <c r="I228" s="1"/>
      <c r="J228" s="79"/>
      <c r="AM228" s="81"/>
    </row>
    <row r="229" ht="15.75" customHeight="1">
      <c r="A229" s="1"/>
      <c r="B229" s="1"/>
      <c r="C229" s="1"/>
      <c r="D229" s="1"/>
      <c r="E229" s="1"/>
      <c r="F229" s="1"/>
      <c r="I229" s="1"/>
      <c r="J229" s="79"/>
      <c r="AM229" s="81"/>
    </row>
    <row r="230" ht="15.75" customHeight="1">
      <c r="A230" s="1"/>
      <c r="B230" s="1"/>
      <c r="C230" s="1"/>
      <c r="D230" s="1"/>
      <c r="E230" s="1"/>
      <c r="F230" s="1"/>
      <c r="I230" s="1"/>
      <c r="J230" s="79"/>
      <c r="AM230" s="81"/>
    </row>
    <row r="231" ht="15.75" customHeight="1">
      <c r="A231" s="1"/>
      <c r="B231" s="1"/>
      <c r="C231" s="1"/>
      <c r="D231" s="1"/>
      <c r="E231" s="1"/>
      <c r="F231" s="1"/>
      <c r="I231" s="1"/>
      <c r="J231" s="79"/>
      <c r="AM231" s="81"/>
    </row>
    <row r="232" ht="15.75" customHeight="1">
      <c r="A232" s="1"/>
      <c r="B232" s="1"/>
      <c r="C232" s="1"/>
      <c r="D232" s="1"/>
      <c r="E232" s="1"/>
      <c r="F232" s="1"/>
      <c r="I232" s="1"/>
      <c r="J232" s="79"/>
      <c r="AM232" s="81"/>
    </row>
    <row r="233" ht="15.75" customHeight="1">
      <c r="A233" s="1"/>
      <c r="B233" s="1"/>
      <c r="C233" s="1"/>
      <c r="D233" s="1"/>
      <c r="E233" s="1"/>
      <c r="F233" s="1"/>
      <c r="I233" s="1"/>
      <c r="J233" s="79"/>
      <c r="AM233" s="81"/>
    </row>
    <row r="234" ht="15.75" customHeight="1">
      <c r="A234" s="1"/>
      <c r="B234" s="1"/>
      <c r="C234" s="1"/>
      <c r="D234" s="1"/>
      <c r="E234" s="1"/>
      <c r="F234" s="1"/>
      <c r="I234" s="1"/>
      <c r="J234" s="79"/>
      <c r="AM234" s="81"/>
    </row>
    <row r="235" ht="15.75" customHeight="1">
      <c r="A235" s="1"/>
      <c r="B235" s="1"/>
      <c r="C235" s="1"/>
      <c r="D235" s="1"/>
      <c r="E235" s="1"/>
      <c r="F235" s="1"/>
      <c r="I235" s="1"/>
      <c r="J235" s="79"/>
      <c r="AM235" s="81"/>
    </row>
    <row r="236" ht="15.75" customHeight="1">
      <c r="A236" s="1"/>
      <c r="B236" s="1"/>
      <c r="C236" s="1"/>
      <c r="D236" s="1"/>
      <c r="E236" s="1"/>
      <c r="F236" s="1"/>
      <c r="I236" s="1"/>
      <c r="J236" s="79"/>
      <c r="AM236" s="81"/>
    </row>
    <row r="237" ht="15.75" customHeight="1">
      <c r="A237" s="1"/>
      <c r="B237" s="1"/>
      <c r="C237" s="1"/>
      <c r="D237" s="1"/>
      <c r="E237" s="1"/>
      <c r="F237" s="1"/>
      <c r="I237" s="1"/>
      <c r="J237" s="79"/>
      <c r="AM237" s="81"/>
    </row>
    <row r="238" ht="15.75" customHeight="1">
      <c r="A238" s="1"/>
      <c r="B238" s="1"/>
      <c r="C238" s="1"/>
      <c r="D238" s="1"/>
      <c r="E238" s="1"/>
      <c r="F238" s="1"/>
      <c r="I238" s="1"/>
      <c r="J238" s="79"/>
      <c r="AM238" s="81"/>
    </row>
    <row r="239" ht="15.75" customHeight="1">
      <c r="A239" s="1"/>
      <c r="B239" s="1"/>
      <c r="C239" s="1"/>
      <c r="D239" s="1"/>
      <c r="E239" s="1"/>
      <c r="F239" s="1"/>
      <c r="I239" s="1"/>
      <c r="J239" s="79"/>
      <c r="AM239" s="81"/>
    </row>
    <row r="240" ht="15.75" customHeight="1">
      <c r="A240" s="1"/>
      <c r="B240" s="1"/>
      <c r="C240" s="1"/>
      <c r="D240" s="1"/>
      <c r="E240" s="1"/>
      <c r="F240" s="1"/>
      <c r="I240" s="1"/>
      <c r="J240" s="79"/>
      <c r="AM240" s="81"/>
    </row>
    <row r="241" ht="15.75" customHeight="1">
      <c r="A241" s="1"/>
      <c r="B241" s="1"/>
      <c r="C241" s="1"/>
      <c r="D241" s="1"/>
      <c r="E241" s="1"/>
      <c r="F241" s="1"/>
      <c r="I241" s="1"/>
      <c r="J241" s="79"/>
      <c r="AM241" s="81"/>
    </row>
    <row r="242" ht="15.75" customHeight="1">
      <c r="A242" s="1"/>
      <c r="B242" s="1"/>
      <c r="C242" s="1"/>
      <c r="D242" s="1"/>
      <c r="E242" s="1"/>
      <c r="F242" s="1"/>
      <c r="I242" s="1"/>
      <c r="J242" s="79"/>
      <c r="AM242" s="81"/>
    </row>
    <row r="243" ht="15.75" customHeight="1">
      <c r="A243" s="1"/>
      <c r="B243" s="1"/>
      <c r="C243" s="1"/>
      <c r="D243" s="1"/>
      <c r="E243" s="1"/>
      <c r="F243" s="1"/>
      <c r="I243" s="1"/>
      <c r="J243" s="79"/>
      <c r="AM243" s="81"/>
    </row>
    <row r="244" ht="15.75" customHeight="1">
      <c r="A244" s="1"/>
      <c r="B244" s="1"/>
      <c r="C244" s="1"/>
      <c r="D244" s="1"/>
      <c r="E244" s="1"/>
      <c r="F244" s="1"/>
      <c r="I244" s="1"/>
      <c r="J244" s="79"/>
      <c r="AM244" s="81"/>
    </row>
    <row r="245" ht="15.75" customHeight="1">
      <c r="A245" s="1"/>
      <c r="B245" s="1"/>
      <c r="C245" s="1"/>
      <c r="D245" s="1"/>
      <c r="E245" s="1"/>
      <c r="F245" s="1"/>
      <c r="I245" s="1"/>
      <c r="J245" s="79"/>
      <c r="AM245" s="81"/>
    </row>
    <row r="246" ht="15.75" customHeight="1">
      <c r="A246" s="1"/>
      <c r="B246" s="1"/>
      <c r="C246" s="1"/>
      <c r="D246" s="1"/>
      <c r="E246" s="1"/>
      <c r="F246" s="1"/>
      <c r="I246" s="1"/>
      <c r="J246" s="79"/>
      <c r="AM246" s="81"/>
    </row>
    <row r="247" ht="15.75" customHeight="1">
      <c r="A247" s="1"/>
      <c r="B247" s="1"/>
      <c r="C247" s="1"/>
      <c r="D247" s="1"/>
      <c r="E247" s="1"/>
      <c r="F247" s="1"/>
      <c r="I247" s="1"/>
      <c r="J247" s="79"/>
      <c r="AM247" s="81"/>
    </row>
    <row r="248" ht="15.75" customHeight="1">
      <c r="A248" s="1"/>
      <c r="B248" s="1"/>
      <c r="C248" s="1"/>
      <c r="D248" s="1"/>
      <c r="E248" s="1"/>
      <c r="F248" s="1"/>
      <c r="I248" s="1"/>
      <c r="J248" s="79"/>
      <c r="AM248" s="81"/>
    </row>
    <row r="249" ht="15.75" customHeight="1">
      <c r="A249" s="1"/>
      <c r="B249" s="1"/>
      <c r="C249" s="1"/>
      <c r="D249" s="1"/>
      <c r="E249" s="1"/>
      <c r="F249" s="1"/>
      <c r="I249" s="1"/>
      <c r="J249" s="79"/>
      <c r="AM249" s="81"/>
    </row>
    <row r="250" ht="15.75" customHeight="1">
      <c r="A250" s="1"/>
      <c r="B250" s="1"/>
      <c r="C250" s="1"/>
      <c r="D250" s="1"/>
      <c r="E250" s="1"/>
      <c r="F250" s="1"/>
      <c r="I250" s="1"/>
      <c r="J250" s="79"/>
      <c r="AM250" s="81"/>
    </row>
    <row r="251" ht="15.75" customHeight="1">
      <c r="A251" s="1"/>
      <c r="B251" s="1"/>
      <c r="C251" s="1"/>
      <c r="D251" s="1"/>
      <c r="E251" s="1"/>
      <c r="F251" s="1"/>
      <c r="I251" s="1"/>
      <c r="J251" s="79"/>
      <c r="AM251" s="81"/>
    </row>
    <row r="252" ht="15.75" customHeight="1">
      <c r="A252" s="1"/>
      <c r="B252" s="1"/>
      <c r="C252" s="1"/>
      <c r="D252" s="1"/>
      <c r="E252" s="1"/>
      <c r="F252" s="1"/>
      <c r="I252" s="1"/>
      <c r="J252" s="79"/>
      <c r="AM252" s="81"/>
    </row>
    <row r="253" ht="15.75" customHeight="1">
      <c r="A253" s="1"/>
      <c r="B253" s="1"/>
      <c r="C253" s="1"/>
      <c r="D253" s="1"/>
      <c r="E253" s="1"/>
      <c r="F253" s="1"/>
      <c r="I253" s="1"/>
      <c r="J253" s="79"/>
      <c r="AM253" s="81"/>
    </row>
    <row r="254" ht="15.75" customHeight="1">
      <c r="A254" s="1"/>
      <c r="B254" s="1"/>
      <c r="C254" s="1"/>
      <c r="D254" s="1"/>
      <c r="E254" s="1"/>
      <c r="F254" s="1"/>
      <c r="I254" s="1"/>
      <c r="J254" s="79"/>
      <c r="AM254" s="81"/>
    </row>
    <row r="255" ht="15.75" customHeight="1">
      <c r="A255" s="1"/>
      <c r="B255" s="1"/>
      <c r="C255" s="1"/>
      <c r="D255" s="1"/>
      <c r="E255" s="1"/>
      <c r="F255" s="1"/>
      <c r="I255" s="1"/>
      <c r="J255" s="79"/>
      <c r="AM255" s="81"/>
    </row>
    <row r="256" ht="15.75" customHeight="1">
      <c r="A256" s="1"/>
      <c r="B256" s="1"/>
      <c r="C256" s="1"/>
      <c r="D256" s="1"/>
      <c r="E256" s="1"/>
      <c r="F256" s="1"/>
      <c r="I256" s="1"/>
      <c r="J256" s="79"/>
      <c r="AM256" s="81"/>
    </row>
    <row r="257" ht="15.75" customHeight="1">
      <c r="A257" s="1"/>
      <c r="B257" s="1"/>
      <c r="C257" s="1"/>
      <c r="D257" s="1"/>
      <c r="E257" s="1"/>
      <c r="F257" s="1"/>
      <c r="I257" s="1"/>
      <c r="J257" s="79"/>
      <c r="AM257" s="81"/>
    </row>
    <row r="258" ht="15.75" customHeight="1">
      <c r="A258" s="1"/>
      <c r="B258" s="1"/>
      <c r="C258" s="1"/>
      <c r="D258" s="1"/>
      <c r="E258" s="1"/>
      <c r="F258" s="1"/>
      <c r="I258" s="1"/>
      <c r="J258" s="79"/>
      <c r="AM258" s="81"/>
    </row>
    <row r="259" ht="15.75" customHeight="1">
      <c r="A259" s="1"/>
      <c r="B259" s="1"/>
      <c r="C259" s="1"/>
      <c r="D259" s="1"/>
      <c r="E259" s="1"/>
      <c r="F259" s="1"/>
      <c r="I259" s="1"/>
      <c r="J259" s="79"/>
      <c r="AM259" s="81"/>
    </row>
    <row r="260" ht="15.75" customHeight="1">
      <c r="A260" s="1"/>
      <c r="B260" s="1"/>
      <c r="C260" s="1"/>
      <c r="D260" s="1"/>
      <c r="E260" s="1"/>
      <c r="F260" s="1"/>
      <c r="I260" s="1"/>
      <c r="J260" s="79"/>
      <c r="AM260" s="81"/>
    </row>
    <row r="261" ht="15.75" customHeight="1">
      <c r="A261" s="1"/>
      <c r="B261" s="1"/>
      <c r="C261" s="1"/>
      <c r="D261" s="1"/>
      <c r="E261" s="1"/>
      <c r="F261" s="1"/>
      <c r="I261" s="1"/>
      <c r="J261" s="79"/>
      <c r="AM261" s="81"/>
    </row>
    <row r="262" ht="15.75" customHeight="1">
      <c r="A262" s="1"/>
      <c r="B262" s="1"/>
      <c r="C262" s="1"/>
      <c r="D262" s="1"/>
      <c r="E262" s="1"/>
      <c r="F262" s="1"/>
      <c r="I262" s="1"/>
      <c r="J262" s="79"/>
      <c r="AM262" s="81"/>
    </row>
    <row r="263" ht="15.75" customHeight="1">
      <c r="A263" s="1"/>
      <c r="B263" s="1"/>
      <c r="C263" s="1"/>
      <c r="D263" s="1"/>
      <c r="E263" s="1"/>
      <c r="F263" s="1"/>
      <c r="I263" s="1"/>
      <c r="J263" s="79"/>
      <c r="AM263" s="81"/>
    </row>
    <row r="264" ht="15.75" customHeight="1">
      <c r="A264" s="1"/>
      <c r="B264" s="1"/>
      <c r="C264" s="1"/>
      <c r="D264" s="1"/>
      <c r="E264" s="1"/>
      <c r="F264" s="1"/>
      <c r="I264" s="1"/>
      <c r="J264" s="79"/>
      <c r="AM264" s="81"/>
    </row>
    <row r="265" ht="15.75" customHeight="1">
      <c r="A265" s="1"/>
      <c r="B265" s="1"/>
      <c r="C265" s="1"/>
      <c r="D265" s="1"/>
      <c r="E265" s="1"/>
      <c r="F265" s="1"/>
      <c r="I265" s="1"/>
      <c r="J265" s="79"/>
      <c r="AM265" s="81"/>
    </row>
    <row r="266" ht="15.75" customHeight="1">
      <c r="A266" s="1"/>
      <c r="B266" s="1"/>
      <c r="C266" s="1"/>
      <c r="D266" s="1"/>
      <c r="E266" s="1"/>
      <c r="F266" s="1"/>
      <c r="I266" s="1"/>
      <c r="J266" s="79"/>
      <c r="AM266" s="81"/>
    </row>
    <row r="267" ht="15.75" customHeight="1">
      <c r="A267" s="1"/>
      <c r="B267" s="1"/>
      <c r="C267" s="1"/>
      <c r="D267" s="1"/>
      <c r="E267" s="1"/>
      <c r="F267" s="1"/>
      <c r="I267" s="1"/>
      <c r="J267" s="79"/>
      <c r="AM267" s="81"/>
    </row>
    <row r="268" ht="15.75" customHeight="1">
      <c r="A268" s="1"/>
      <c r="B268" s="1"/>
      <c r="C268" s="1"/>
      <c r="D268" s="1"/>
      <c r="E268" s="1"/>
      <c r="F268" s="1"/>
      <c r="I268" s="1"/>
      <c r="J268" s="79"/>
      <c r="AM268" s="81"/>
    </row>
    <row r="269" ht="15.75" customHeight="1">
      <c r="A269" s="1"/>
      <c r="B269" s="1"/>
      <c r="C269" s="1"/>
      <c r="D269" s="1"/>
      <c r="E269" s="1"/>
      <c r="F269" s="1"/>
      <c r="I269" s="1"/>
      <c r="J269" s="79"/>
      <c r="AM269" s="81"/>
    </row>
    <row r="270" ht="15.75" customHeight="1">
      <c r="A270" s="1"/>
      <c r="B270" s="1"/>
      <c r="C270" s="1"/>
      <c r="D270" s="1"/>
      <c r="E270" s="1"/>
      <c r="F270" s="1"/>
      <c r="I270" s="1"/>
      <c r="J270" s="79"/>
      <c r="AM270" s="81"/>
    </row>
    <row r="271" ht="15.75" customHeight="1">
      <c r="A271" s="1"/>
      <c r="B271" s="1"/>
      <c r="C271" s="1"/>
      <c r="D271" s="1"/>
      <c r="E271" s="1"/>
      <c r="F271" s="1"/>
      <c r="I271" s="1"/>
      <c r="J271" s="79"/>
      <c r="AM271" s="81"/>
    </row>
    <row r="272" ht="15.75" customHeight="1">
      <c r="A272" s="1"/>
      <c r="B272" s="1"/>
      <c r="C272" s="1"/>
      <c r="D272" s="1"/>
      <c r="E272" s="1"/>
      <c r="F272" s="1"/>
      <c r="I272" s="1"/>
      <c r="J272" s="79"/>
      <c r="AM272" s="81"/>
    </row>
    <row r="273" ht="15.75" customHeight="1">
      <c r="A273" s="1"/>
      <c r="B273" s="1"/>
      <c r="C273" s="1"/>
      <c r="D273" s="1"/>
      <c r="E273" s="1"/>
      <c r="F273" s="1"/>
      <c r="I273" s="1"/>
      <c r="J273" s="79"/>
      <c r="AM273" s="81"/>
    </row>
    <row r="274" ht="15.75" customHeight="1">
      <c r="A274" s="1"/>
      <c r="B274" s="1"/>
      <c r="C274" s="1"/>
      <c r="D274" s="1"/>
      <c r="E274" s="1"/>
      <c r="F274" s="1"/>
      <c r="I274" s="1"/>
      <c r="J274" s="79"/>
      <c r="AM274" s="81"/>
    </row>
    <row r="275" ht="15.75" customHeight="1">
      <c r="A275" s="1"/>
      <c r="B275" s="1"/>
      <c r="C275" s="1"/>
      <c r="D275" s="1"/>
      <c r="E275" s="1"/>
      <c r="F275" s="1"/>
      <c r="I275" s="1"/>
      <c r="J275" s="79"/>
      <c r="AM275" s="81"/>
    </row>
    <row r="276" ht="15.75" customHeight="1">
      <c r="A276" s="1"/>
      <c r="B276" s="1"/>
      <c r="C276" s="1"/>
      <c r="D276" s="1"/>
      <c r="E276" s="1"/>
      <c r="F276" s="1"/>
      <c r="I276" s="1"/>
      <c r="J276" s="79"/>
      <c r="AM276" s="81"/>
    </row>
    <row r="277" ht="15.75" customHeight="1">
      <c r="A277" s="1"/>
      <c r="B277" s="1"/>
      <c r="C277" s="1"/>
      <c r="D277" s="1"/>
      <c r="E277" s="1"/>
      <c r="F277" s="1"/>
      <c r="I277" s="1"/>
      <c r="J277" s="79"/>
      <c r="AM277" s="81"/>
    </row>
    <row r="278" ht="15.75" customHeight="1">
      <c r="A278" s="1"/>
      <c r="B278" s="1"/>
      <c r="C278" s="1"/>
      <c r="D278" s="1"/>
      <c r="E278" s="1"/>
      <c r="F278" s="1"/>
      <c r="I278" s="1"/>
      <c r="J278" s="79"/>
      <c r="AM278" s="81"/>
    </row>
    <row r="279" ht="15.75" customHeight="1">
      <c r="A279" s="1"/>
      <c r="B279" s="1"/>
      <c r="C279" s="1"/>
      <c r="D279" s="1"/>
      <c r="E279" s="1"/>
      <c r="F279" s="1"/>
      <c r="I279" s="1"/>
      <c r="J279" s="79"/>
      <c r="AM279" s="81"/>
    </row>
    <row r="280" ht="15.75" customHeight="1">
      <c r="A280" s="1"/>
      <c r="B280" s="1"/>
      <c r="C280" s="1"/>
      <c r="D280" s="1"/>
      <c r="E280" s="1"/>
      <c r="F280" s="1"/>
      <c r="I280" s="1"/>
      <c r="J280" s="79"/>
      <c r="AM280" s="81"/>
    </row>
    <row r="281" ht="15.75" customHeight="1">
      <c r="A281" s="1"/>
      <c r="B281" s="1"/>
      <c r="C281" s="1"/>
      <c r="D281" s="1"/>
      <c r="E281" s="1"/>
      <c r="F281" s="1"/>
      <c r="I281" s="1"/>
      <c r="J281" s="79"/>
      <c r="AM281" s="81"/>
    </row>
    <row r="282" ht="15.75" customHeight="1">
      <c r="A282" s="1"/>
      <c r="B282" s="1"/>
      <c r="C282" s="1"/>
      <c r="D282" s="1"/>
      <c r="E282" s="1"/>
      <c r="F282" s="1"/>
      <c r="I282" s="1"/>
      <c r="J282" s="79"/>
      <c r="AM282" s="81"/>
    </row>
    <row r="283" ht="15.75" customHeight="1">
      <c r="A283" s="1"/>
      <c r="B283" s="1"/>
      <c r="C283" s="1"/>
      <c r="D283" s="1"/>
      <c r="E283" s="1"/>
      <c r="F283" s="1"/>
      <c r="I283" s="1"/>
      <c r="J283" s="79"/>
      <c r="AM283" s="81"/>
    </row>
    <row r="284" ht="15.75" customHeight="1">
      <c r="A284" s="1"/>
      <c r="B284" s="1"/>
      <c r="C284" s="1"/>
      <c r="D284" s="1"/>
      <c r="E284" s="1"/>
      <c r="F284" s="1"/>
      <c r="I284" s="1"/>
      <c r="J284" s="79"/>
      <c r="AM284" s="81"/>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W$84"/>
  <mergeCells count="9">
    <mergeCell ref="AQ1:AS1"/>
    <mergeCell ref="AT1:AV1"/>
    <mergeCell ref="G1:I1"/>
    <mergeCell ref="K1:L1"/>
    <mergeCell ref="O1:V1"/>
    <mergeCell ref="W1:AA1"/>
    <mergeCell ref="AB1:AJ1"/>
    <mergeCell ref="AK1:AL1"/>
    <mergeCell ref="AN1:AP1"/>
  </mergeCells>
  <dataValidations>
    <dataValidation type="list" allowBlank="1" showErrorMessage="1" sqref="C3:C84">
      <formula1>"Onsite,Online,Hybrid"</formula1>
    </dataValidation>
    <dataValidation type="list" allowBlank="1" showErrorMessage="1" sqref="B19">
      <formula1>"15th Field Accounting Unit,Accounting Service Philippine Army,Accounting Service,Philippine Army,Ameticia Digital Marketing,APCargo Logistic Network Corporation,Asia Source College Inc.,Asiapro Multipurpose Cooperative,BASC - College of Agriculture and Gr"&amp;"aduates School of Agriculture Library,BASC - Collage of Agriculture and Graduates School of Agriculture,BASC - College of Education,BASC - DEVCOMM,BASC - Institute of Veterinary Medicine,BASC - Intellectual Property and Technology Business Management Offi"&amp;"ce,BASC - Main Library,BASC - office of the college Registar,BASC - Public Affairs and Information Office,Bitag Multimedia Network,Buildnet Construction Inc.,Bulacan Agricultural State College,Bulacan Agricultural State College (Management Information Sys"&amp;"tem Office,ComSolution Inc.,Development Communication,DOST-ITDI,EGIS Projects Philippines,end Softech Solution,Hiraya Technology Solutions INC.,Inspiro Relia Inc.,Intellectual Property and Technology Business Management Office,I-Ride Mototranspo Urban or "&amp;"Passenger Land Transportation,Gencys Digital Trading INC.,LBC Express INC.,Management Information System,Metacom Buisness Process Outsourcing Solution INC.,Moriroku Philippines Inc,Mr. Rammel H. Larrobis,National Irregation Administration - Regional Offic"&amp;"e,Noeme n. Guazon,Samuel I. Mitra Asia Source I College Inc.,San Miguel District Hospital,Schools Division Office of City of Baliwag,Shift101 Information Technology Solutions,Social Security System (Dilima Branch),Panrama Technologies Enterprises,Universi"&amp;"ty of Kratie,VML Group Outsource Manila Inc.,WT Mirgmo Systems Inc.,YML group Outsource Manila Inc,Grass Residences Condominium Corporation"</formula1>
    </dataValidation>
    <dataValidation type="list" allowBlank="1" showErrorMessage="1" sqref="D3:D84">
      <formula1>"BSIT 4A,BSIT 4B,BSIT 4C"</formula1>
    </dataValidation>
    <dataValidation type="list" allowBlank="1" showErrorMessage="1" sqref="B79 B84">
      <formula1>"15th Field Accounting Unit,Accounting Service Philippine Army,Accounting Service,Philippine Army,Ameticia Digital Marketing,APCargo Logistic Network Corporation,Asia Source College Inc.,Asiapro Multipurpose Cooperative,BASC - College of Agriculture and Gr"&amp;"aduates School of Agriculture Library,BASC - Collage of Agriculture and Graduates School of Agriculture,BASC - College of Education,BASC - DEVCOMM,BASC - Institute of Veterinary Medicine,BASC - Intellectual Property and Technology Business Management Offi"&amp;"ce,BASC - Main Library,BASC - office of the college Registar,BASC - Public Affairs and Information Office,Bitag Multimedia Network,Buildnet Construction Inc.,Bulacan Agricultural State College,Bulacan Agricultural State College (Management Information Sys"&amp;"tem Office,ComSolution Inc.,Development Communication,DOST-ITDI,EGIS Projects Philippines,end Softech Solution,Hiraya Technology Solutions INC.,Inspiro Relia Inc.,Intellectual Property and Technology Business Management Office,I-Ride Mototranspo Urban or "&amp;"Passenger Land Transportation,Gencys Digital Trading INC.,LBC Express INC.,Management Information System,Metacom Buisness Process Outsourcing Solution INC.,Moriroku Philippines Inc,Mr. Rammel H. Larrobis,National Irregation Administration - Regional Offic"&amp;"e,Noeme n. Guazon,Samuel I. Mitra Asia Source I College Inc.,San Miguel District Hospital,Schools Division Office of City of Baliwag,Shift101 Information Technology Solutions,Social Security System (Dilima Branch),Panrama Technologies Enterprises,Universi"&amp;"ty of Kratie,VML Group Outsource Manila Inc.,WT Mirgmo Systems Inc.,YML group Outsource Manila Inc,Valenin IT services"</formula1>
    </dataValidation>
    <dataValidation type="list" allowBlank="1" showErrorMessage="1" sqref="A3:A84">
      <formula1>"Group 1,Group 2"</formula1>
    </dataValidation>
    <dataValidation type="list" allowBlank="1" showErrorMessage="1" sqref="B3:B18 B20:B78 B80:B83">
      <formula1>"Accounting Service,Philippine Army,Ameticia Digital Marketing,APCargo Logistic Network Corporation,Asia Source College Inc.,Asiapro Multipurpose Cooperative,BASC - CA-GS Library,BASC - CoE,BASC - IAS,BASC - IVM,BASC - IPTBMO,BASC - Main Library,BASC - Col"&amp;"lege Registar,BASC - Public Affairs and Information Office,Bitag Multimedia Network,Buildnet Construction Inc.,BASC-MIS,ComSolution Inc.,Development Communication,DOST-ITDI,EGIS Projects Philippines,end Softech Solution,Hiraya Technology Solutions INC.,In"&amp;"spiro Relia Inc.,Intellectual Property and Technology Business Management Office,I-Ride Mototranspo Urban or Passenger Land Transportation,Gencys Digital Trading INC.,LBC Express INC.,Management Information System,Metacom Buisness Process Outsourcing Solu"&amp;"tion INC.,Moriroku Philippines Inc,JNRM Corporation,National Irregation Administration - Regional Office,Noeme n. Guazon,Samuel I. Mitra Asia Source I College Inc.,San Miguel District Hospital,Schools Division Office of City of Baliwag,Shift101 Informatio"&amp;"n Technology Solutions,Social Security System (Dilima Branch),Panrama Technologies Enterprises,University of Kratie,VML Group Outsource Manila Inc.,WT Mirgmo Systems Inc.,YML group Outsource Manila Inc,BASC-ICS"</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F1" s="1"/>
    </row>
    <row r="2" ht="15.75" customHeight="1">
      <c r="F2" s="1"/>
    </row>
    <row r="3" ht="15.75" customHeight="1">
      <c r="F3" s="1"/>
    </row>
    <row r="4" ht="15.75" customHeight="1">
      <c r="F4" s="1"/>
    </row>
    <row r="5" ht="15.75" customHeight="1">
      <c r="F5" s="1"/>
    </row>
    <row r="6" ht="15.75" customHeight="1">
      <c r="F6" s="1"/>
    </row>
    <row r="7" ht="15.75" customHeight="1">
      <c r="A7" s="1"/>
      <c r="B7" s="1"/>
      <c r="C7" s="1"/>
      <c r="D7" s="1"/>
      <c r="E7" s="1"/>
      <c r="F7" s="1"/>
    </row>
    <row r="8" ht="15.75" customHeight="1">
      <c r="A8" s="1"/>
      <c r="B8" s="1"/>
      <c r="C8" s="1"/>
      <c r="D8" s="1"/>
      <c r="E8" s="1"/>
      <c r="F8" s="1"/>
    </row>
    <row r="9" ht="15.75" customHeight="1">
      <c r="A9" s="1"/>
      <c r="B9" s="1"/>
      <c r="C9" s="1"/>
      <c r="D9" s="1"/>
      <c r="E9" s="1"/>
      <c r="F9" s="1"/>
    </row>
    <row r="10" ht="15.75" customHeight="1">
      <c r="A10" s="1"/>
      <c r="B10" s="1"/>
      <c r="C10" s="1"/>
      <c r="D10" s="1"/>
      <c r="E10" s="1"/>
      <c r="F10" s="1"/>
    </row>
    <row r="11" ht="15.75" customHeight="1">
      <c r="A11" s="1"/>
      <c r="B11" s="1"/>
      <c r="C11" s="1"/>
      <c r="D11" s="1"/>
      <c r="E11" s="1"/>
      <c r="F11" s="1"/>
    </row>
    <row r="12" ht="15.75" customHeight="1">
      <c r="A12" s="1"/>
      <c r="B12" s="1"/>
      <c r="C12" s="1"/>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F21" s="1"/>
    </row>
    <row r="22" ht="15.75" customHeight="1">
      <c r="F22" s="1"/>
    </row>
    <row r="23" ht="15.75" customHeight="1">
      <c r="F23" s="1"/>
    </row>
    <row r="24" ht="15.75" customHeight="1">
      <c r="F24" s="1"/>
    </row>
    <row r="25" ht="15.75" customHeight="1">
      <c r="F25" s="1"/>
    </row>
    <row r="26" ht="15.75" customHeight="1">
      <c r="F26" s="1"/>
    </row>
    <row r="27" ht="15.75" customHeight="1">
      <c r="F27" s="1"/>
    </row>
    <row r="28" ht="15.75" customHeight="1">
      <c r="F28" s="1"/>
    </row>
    <row r="29" ht="15.75" customHeight="1">
      <c r="F29" s="1"/>
    </row>
    <row r="30" ht="15.75" customHeight="1">
      <c r="F30" s="1"/>
    </row>
    <row r="31" ht="15.75" customHeight="1">
      <c r="A31" s="50"/>
      <c r="B31" s="51"/>
      <c r="C31" s="52"/>
      <c r="D31" s="1"/>
      <c r="E31" s="1"/>
      <c r="F31" s="1"/>
    </row>
    <row r="32" ht="15.75" customHeight="1">
      <c r="A32" s="50"/>
      <c r="B32" s="51"/>
      <c r="C32" s="52"/>
      <c r="D32" s="1"/>
      <c r="E32" s="1"/>
      <c r="F32" s="1"/>
    </row>
    <row r="33" ht="15.75" customHeight="1">
      <c r="A33" s="50"/>
      <c r="B33" s="51"/>
      <c r="C33" s="52"/>
      <c r="D33" s="1"/>
      <c r="E33" s="1"/>
      <c r="F33" s="1"/>
    </row>
    <row r="34" ht="15.75" customHeight="1">
      <c r="A34" s="50"/>
      <c r="B34" s="51"/>
      <c r="C34" s="52"/>
      <c r="D34" s="1"/>
      <c r="E34" s="1"/>
      <c r="F34" s="1"/>
    </row>
    <row r="35" ht="15.75" customHeight="1">
      <c r="A35" s="50"/>
      <c r="B35" s="51"/>
      <c r="C35" s="52"/>
      <c r="D35" s="1"/>
      <c r="E35" s="1"/>
      <c r="F35" s="1"/>
    </row>
    <row r="36" ht="15.75" customHeight="1">
      <c r="A36" s="50"/>
      <c r="B36" s="51"/>
      <c r="C36" s="52"/>
      <c r="D36" s="1"/>
      <c r="E36" s="1"/>
      <c r="F36" s="1"/>
    </row>
    <row r="37" ht="15.75" customHeight="1">
      <c r="A37" s="50"/>
      <c r="B37" s="51"/>
      <c r="C37" s="52"/>
      <c r="D37" s="1"/>
      <c r="E37" s="1"/>
      <c r="F37" s="1"/>
    </row>
    <row r="38" ht="15.75" customHeight="1">
      <c r="A38" s="53"/>
      <c r="B38" s="54"/>
      <c r="C38" s="55"/>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F1" s="1"/>
    </row>
    <row r="2" ht="15.75" customHeight="1">
      <c r="F2" s="1"/>
    </row>
    <row r="3" ht="15.75" customHeight="1">
      <c r="F3" s="1"/>
    </row>
    <row r="4" ht="15.75" customHeight="1">
      <c r="F4" s="1"/>
    </row>
    <row r="5" ht="15.75" customHeight="1">
      <c r="F5" s="1"/>
    </row>
    <row r="6" ht="15.75" customHeight="1">
      <c r="F6" s="1"/>
    </row>
    <row r="7" ht="15.75" customHeight="1">
      <c r="A7" s="1"/>
      <c r="B7" s="1"/>
      <c r="C7" s="1"/>
      <c r="D7" s="1"/>
      <c r="E7" s="1"/>
      <c r="F7" s="1"/>
    </row>
    <row r="8" ht="15.75" customHeight="1">
      <c r="A8" s="1"/>
      <c r="B8" s="1"/>
      <c r="C8" s="1"/>
      <c r="D8" s="1"/>
      <c r="E8" s="1"/>
      <c r="F8" s="1"/>
    </row>
    <row r="9" ht="15.75" customHeight="1">
      <c r="A9" s="1"/>
      <c r="B9" s="1"/>
      <c r="C9" s="1"/>
      <c r="D9" s="1"/>
      <c r="E9" s="1"/>
      <c r="F9" s="1"/>
    </row>
    <row r="10" ht="15.75" customHeight="1">
      <c r="A10" s="1"/>
      <c r="B10" s="1"/>
      <c r="C10" s="1"/>
      <c r="D10" s="1"/>
      <c r="E10" s="1"/>
      <c r="F10" s="1"/>
    </row>
    <row r="11" ht="15.75" customHeight="1">
      <c r="A11" s="1"/>
      <c r="B11" s="1"/>
      <c r="C11" s="1"/>
      <c r="D11" s="1"/>
      <c r="E11" s="1"/>
      <c r="F11" s="1"/>
    </row>
    <row r="12" ht="15.75" customHeight="1">
      <c r="A12" s="1"/>
      <c r="B12" s="1"/>
      <c r="C12" s="1"/>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75"/>
    <col customWidth="1" min="2" max="2" width="9.38"/>
    <col customWidth="1" min="3" max="6" width="12.63"/>
  </cols>
  <sheetData>
    <row r="1" ht="15.75" customHeight="1">
      <c r="A1" s="1"/>
      <c r="B1" s="1"/>
      <c r="C1" s="1"/>
      <c r="D1" s="1"/>
      <c r="E1" s="1"/>
      <c r="F1" s="1"/>
    </row>
    <row r="2" ht="15.75" customHeight="1">
      <c r="A2" s="1"/>
      <c r="B2" s="26" t="s">
        <v>57</v>
      </c>
      <c r="C2" s="26" t="s">
        <v>58</v>
      </c>
      <c r="D2" s="1"/>
      <c r="E2" s="1"/>
      <c r="F2" s="1"/>
    </row>
    <row r="3" ht="15.75" customHeight="1">
      <c r="A3" s="26" t="s">
        <v>11</v>
      </c>
      <c r="B3" s="28"/>
      <c r="C3" s="29"/>
      <c r="D3" s="1"/>
      <c r="E3" s="1"/>
      <c r="F3" s="1"/>
    </row>
    <row r="4" ht="15.75" customHeight="1">
      <c r="A4" s="26" t="s">
        <v>60</v>
      </c>
      <c r="B4" s="28">
        <f>COUNTIF(OJTSummarized!$D$3:$D$84,A4)</f>
        <v>25</v>
      </c>
      <c r="C4" s="29">
        <f t="shared" ref="C4:C6" si="1">B4/$B$7</f>
        <v>0.3048780488</v>
      </c>
      <c r="D4" s="1"/>
      <c r="E4" s="1"/>
      <c r="F4" s="1"/>
    </row>
    <row r="5" ht="15.75" customHeight="1">
      <c r="A5" s="26" t="s">
        <v>64</v>
      </c>
      <c r="B5" s="28">
        <f>COUNTIF(OJTSummarized!$D$3:$D$84,A5)</f>
        <v>28</v>
      </c>
      <c r="C5" s="29">
        <f t="shared" si="1"/>
        <v>0.3414634146</v>
      </c>
      <c r="D5" s="1"/>
      <c r="E5" s="1"/>
      <c r="F5" s="1"/>
    </row>
    <row r="6" ht="15.75" customHeight="1">
      <c r="A6" s="26" t="s">
        <v>65</v>
      </c>
      <c r="B6" s="28">
        <f>COUNTIF(OJTSummarized!$D$3:$D$84,A6)</f>
        <v>29</v>
      </c>
      <c r="C6" s="29">
        <f t="shared" si="1"/>
        <v>0.3536585366</v>
      </c>
      <c r="D6" s="1"/>
      <c r="E6" s="1"/>
      <c r="F6" s="1"/>
    </row>
    <row r="7" ht="15.75" customHeight="1">
      <c r="A7" s="28"/>
      <c r="B7" s="26">
        <f t="shared" ref="B7:C7" si="2">SUM(B4:B6)</f>
        <v>82</v>
      </c>
      <c r="C7" s="35">
        <f t="shared" si="2"/>
        <v>1</v>
      </c>
      <c r="D7" s="1"/>
      <c r="E7" s="1"/>
      <c r="F7" s="1"/>
    </row>
    <row r="8" ht="15.75" customHeight="1">
      <c r="A8" s="26" t="s">
        <v>10</v>
      </c>
      <c r="B8" s="28"/>
      <c r="C8" s="28"/>
      <c r="D8" s="1"/>
      <c r="E8" s="1"/>
      <c r="F8" s="1"/>
    </row>
    <row r="9" ht="15.75" customHeight="1">
      <c r="A9" s="26" t="s">
        <v>62</v>
      </c>
      <c r="B9" s="28">
        <f>COUNTIF(OJTSummarized!$C$3:$C$84,A9)</f>
        <v>16</v>
      </c>
      <c r="C9" s="29">
        <f t="shared" ref="C9:C11" si="3">B9/$B$12</f>
        <v>0.1951219512</v>
      </c>
      <c r="D9" s="1"/>
      <c r="E9" s="1"/>
      <c r="F9" s="1"/>
    </row>
    <row r="10" ht="15.75" customHeight="1">
      <c r="A10" s="26" t="s">
        <v>66</v>
      </c>
      <c r="B10" s="28">
        <f>COUNTIF(OJTSummarized!$C$3:$C$84,A10)</f>
        <v>58</v>
      </c>
      <c r="C10" s="29">
        <f t="shared" si="3"/>
        <v>0.7073170732</v>
      </c>
      <c r="D10" s="1"/>
      <c r="E10" s="1"/>
      <c r="F10" s="1"/>
    </row>
    <row r="11" ht="15.75" customHeight="1">
      <c r="A11" s="26" t="s">
        <v>69</v>
      </c>
      <c r="B11" s="28">
        <f>COUNTIF(OJTSummarized!$C$3:$C$84,A11)</f>
        <v>8</v>
      </c>
      <c r="C11" s="29">
        <f t="shared" si="3"/>
        <v>0.09756097561</v>
      </c>
      <c r="D11" s="1"/>
      <c r="E11" s="1"/>
      <c r="F11" s="1"/>
    </row>
    <row r="12" ht="15.75" customHeight="1">
      <c r="A12" s="28"/>
      <c r="B12" s="28">
        <f t="shared" ref="B12:C12" si="4">SUM(B9:B11)</f>
        <v>82</v>
      </c>
      <c r="C12" s="29">
        <f t="shared" si="4"/>
        <v>1</v>
      </c>
      <c r="D12" s="1"/>
      <c r="E12" s="1"/>
      <c r="F12" s="1"/>
    </row>
    <row r="13" ht="15.75" customHeight="1">
      <c r="A13" s="11" t="s">
        <v>9</v>
      </c>
      <c r="B13" s="1"/>
      <c r="C13" s="1"/>
      <c r="D13" s="1"/>
      <c r="E13" s="1"/>
      <c r="F13" s="1"/>
    </row>
    <row r="14" ht="15.75" customHeight="1">
      <c r="A14" s="11" t="s">
        <v>70</v>
      </c>
      <c r="B14" s="1"/>
      <c r="C14" s="1"/>
      <c r="D14" s="1"/>
      <c r="E14" s="1"/>
      <c r="F14" s="1"/>
    </row>
    <row r="15" ht="15.75" customHeight="1">
      <c r="A15" s="11" t="s">
        <v>71</v>
      </c>
      <c r="B15" s="1"/>
      <c r="C15" s="1"/>
      <c r="D15" s="1"/>
      <c r="E15" s="1"/>
      <c r="F15" s="1"/>
    </row>
    <row r="16" ht="15.75" customHeight="1">
      <c r="A16" s="11" t="s">
        <v>72</v>
      </c>
      <c r="B16" s="1"/>
      <c r="C16" s="1"/>
      <c r="D16" s="1"/>
      <c r="E16" s="1"/>
      <c r="F16" s="1"/>
    </row>
    <row r="17" ht="15.75" customHeight="1">
      <c r="A17" s="11" t="s">
        <v>73</v>
      </c>
      <c r="B17" s="1"/>
      <c r="C17" s="1"/>
      <c r="D17" s="1"/>
      <c r="E17" s="1"/>
      <c r="F17" s="1"/>
    </row>
    <row r="18" ht="15.75" customHeight="1">
      <c r="A18" s="11" t="s">
        <v>74</v>
      </c>
      <c r="B18" s="1"/>
      <c r="C18" s="1"/>
      <c r="D18" s="1"/>
      <c r="E18" s="1"/>
      <c r="F18" s="1"/>
    </row>
    <row r="19" ht="15.75" customHeight="1">
      <c r="A19" s="11" t="s">
        <v>75</v>
      </c>
      <c r="B19" s="1"/>
      <c r="C19" s="1"/>
      <c r="D19" s="1"/>
      <c r="E19" s="1"/>
      <c r="F19" s="1"/>
    </row>
    <row r="20" ht="15.75" customHeight="1">
      <c r="A20" s="11" t="s">
        <v>77</v>
      </c>
      <c r="B20" s="1"/>
      <c r="C20" s="1"/>
      <c r="D20" s="1"/>
      <c r="E20" s="1"/>
      <c r="F20" s="1"/>
    </row>
    <row r="21" ht="15.75" customHeight="1">
      <c r="A21" s="11" t="s">
        <v>79</v>
      </c>
      <c r="B21" s="1"/>
      <c r="C21" s="1"/>
      <c r="D21" s="1"/>
      <c r="E21" s="1"/>
      <c r="F21" s="1"/>
    </row>
    <row r="22" ht="15.75" customHeight="1">
      <c r="A22" s="11" t="s">
        <v>80</v>
      </c>
      <c r="B22" s="1"/>
      <c r="C22" s="1"/>
      <c r="D22" s="1"/>
      <c r="E22" s="1"/>
      <c r="F22" s="1"/>
    </row>
    <row r="23" ht="15.75" customHeight="1">
      <c r="A23" s="11" t="s">
        <v>81</v>
      </c>
      <c r="B23" s="1"/>
      <c r="C23" s="1"/>
      <c r="D23" s="1"/>
      <c r="E23" s="1"/>
      <c r="F23" s="1"/>
    </row>
    <row r="24" ht="15.75" customHeight="1">
      <c r="A24" s="11" t="s">
        <v>82</v>
      </c>
      <c r="B24" s="1"/>
      <c r="C24" s="1"/>
      <c r="D24" s="1"/>
      <c r="E24" s="1"/>
      <c r="F24" s="1"/>
    </row>
    <row r="25" ht="15.75" customHeight="1">
      <c r="A25" s="11" t="s">
        <v>83</v>
      </c>
      <c r="B25" s="1"/>
      <c r="C25" s="1"/>
      <c r="D25" s="1"/>
      <c r="E25" s="1"/>
      <c r="F25" s="1"/>
    </row>
    <row r="26" ht="15.75" customHeight="1">
      <c r="A26" s="11" t="s">
        <v>84</v>
      </c>
      <c r="B26" s="1"/>
      <c r="C26" s="1"/>
      <c r="D26" s="1"/>
      <c r="E26" s="1"/>
      <c r="F26" s="1"/>
    </row>
    <row r="27" ht="15.75" customHeight="1">
      <c r="A27" s="11" t="s">
        <v>85</v>
      </c>
      <c r="B27" s="1"/>
      <c r="C27" s="1"/>
      <c r="D27" s="1"/>
      <c r="E27" s="1"/>
      <c r="F27" s="1"/>
    </row>
    <row r="28" ht="15.75" customHeight="1">
      <c r="A28" s="11" t="s">
        <v>86</v>
      </c>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20.0"/>
    <col customWidth="1" min="3" max="3" width="42.0"/>
    <col customWidth="1" min="4" max="4" width="35.0"/>
    <col customWidth="1" min="5" max="6" width="8.63"/>
  </cols>
  <sheetData>
    <row r="1" ht="12.75" customHeight="1">
      <c r="A1" s="45"/>
      <c r="B1" s="45" t="s">
        <v>118</v>
      </c>
      <c r="C1" s="45" t="s">
        <v>119</v>
      </c>
      <c r="D1" s="45" t="s">
        <v>120</v>
      </c>
      <c r="E1" s="1"/>
      <c r="F1" s="1"/>
      <c r="G1" s="1"/>
      <c r="H1" s="1"/>
      <c r="I1" s="1"/>
      <c r="J1" s="1"/>
      <c r="K1" s="1"/>
      <c r="L1" s="1"/>
      <c r="M1" s="1"/>
      <c r="N1" s="1"/>
      <c r="O1" s="1"/>
      <c r="P1" s="1"/>
      <c r="Q1" s="1"/>
      <c r="R1" s="1"/>
      <c r="S1" s="1"/>
      <c r="T1" s="1"/>
      <c r="U1" s="1"/>
      <c r="V1" s="1"/>
      <c r="W1" s="1"/>
      <c r="X1" s="1"/>
      <c r="Y1" s="1"/>
      <c r="Z1" s="1"/>
    </row>
    <row r="2" ht="12.75" customHeight="1">
      <c r="A2" s="46"/>
      <c r="B2" s="47" t="s">
        <v>121</v>
      </c>
      <c r="C2" s="47">
        <f>COUNT(OJTSummarized!$J$3:$J$84)</f>
        <v>82</v>
      </c>
      <c r="D2" s="47" t="s">
        <v>125</v>
      </c>
      <c r="E2" s="1"/>
      <c r="F2" s="1"/>
      <c r="G2" s="1"/>
      <c r="H2" s="1"/>
      <c r="I2" s="1"/>
      <c r="J2" s="1"/>
      <c r="K2" s="1"/>
      <c r="L2" s="1"/>
      <c r="M2" s="1"/>
      <c r="N2" s="1"/>
      <c r="O2" s="1"/>
      <c r="P2" s="1"/>
      <c r="Q2" s="1"/>
      <c r="R2" s="1"/>
      <c r="S2" s="1"/>
      <c r="T2" s="1"/>
      <c r="U2" s="1"/>
      <c r="V2" s="1"/>
      <c r="W2" s="1"/>
      <c r="X2" s="1"/>
      <c r="Y2" s="1"/>
      <c r="Z2" s="1"/>
    </row>
    <row r="3" ht="11.25" customHeight="1">
      <c r="A3" s="48"/>
      <c r="B3" s="47" t="s">
        <v>126</v>
      </c>
      <c r="C3" s="49">
        <f>AVERAGE(OJTSummarized!$J$3:$J$84)</f>
        <v>8.048780488</v>
      </c>
      <c r="D3" s="47" t="s">
        <v>127</v>
      </c>
      <c r="E3" s="1"/>
      <c r="F3" s="1"/>
      <c r="G3" s="1"/>
      <c r="H3" s="1"/>
      <c r="I3" s="1"/>
      <c r="J3" s="1"/>
      <c r="K3" s="1"/>
      <c r="L3" s="1"/>
      <c r="M3" s="1"/>
      <c r="N3" s="1"/>
      <c r="O3" s="1"/>
      <c r="P3" s="1"/>
      <c r="Q3" s="1"/>
      <c r="R3" s="1"/>
      <c r="S3" s="1"/>
      <c r="T3" s="1"/>
      <c r="U3" s="1"/>
      <c r="V3" s="1"/>
      <c r="W3" s="1"/>
      <c r="X3" s="1"/>
      <c r="Y3" s="1"/>
      <c r="Z3" s="1"/>
    </row>
    <row r="4" ht="12.75" customHeight="1">
      <c r="A4" s="48"/>
      <c r="B4" s="47" t="s">
        <v>128</v>
      </c>
      <c r="C4" s="49">
        <f>_xlfn.STDEV.S(OJTSummarized!$J$3:$J$84)/SQRT(COUNT(OJTSummarized!$J$3:$J$84))</f>
        <v>0.1560796813</v>
      </c>
      <c r="D4" s="47" t="s">
        <v>129</v>
      </c>
      <c r="E4" s="1"/>
      <c r="F4" s="1"/>
      <c r="G4" s="1"/>
      <c r="H4" s="1"/>
      <c r="I4" s="1"/>
      <c r="J4" s="1"/>
      <c r="K4" s="1"/>
      <c r="L4" s="1"/>
      <c r="M4" s="1"/>
      <c r="N4" s="1"/>
      <c r="O4" s="1"/>
      <c r="P4" s="1"/>
      <c r="Q4" s="1"/>
      <c r="R4" s="1"/>
      <c r="S4" s="1"/>
      <c r="T4" s="1"/>
      <c r="U4" s="1"/>
      <c r="V4" s="1"/>
      <c r="W4" s="1"/>
      <c r="X4" s="1"/>
      <c r="Y4" s="1"/>
      <c r="Z4" s="1"/>
    </row>
    <row r="5" ht="12.75" customHeight="1">
      <c r="A5" s="48"/>
      <c r="B5" s="47" t="s">
        <v>131</v>
      </c>
      <c r="C5" s="49">
        <f>MEDIAN(OJTSummarized!$J$3:$J$84)</f>
        <v>8</v>
      </c>
      <c r="D5" s="47" t="s">
        <v>133</v>
      </c>
      <c r="E5" s="1"/>
      <c r="F5" s="1"/>
      <c r="G5" s="1"/>
      <c r="H5" s="1"/>
      <c r="I5" s="1"/>
      <c r="J5" s="1"/>
      <c r="K5" s="1"/>
      <c r="L5" s="1"/>
      <c r="M5" s="1"/>
      <c r="N5" s="1"/>
      <c r="O5" s="1"/>
      <c r="P5" s="1"/>
      <c r="Q5" s="1"/>
      <c r="R5" s="1"/>
      <c r="S5" s="1"/>
      <c r="T5" s="1"/>
      <c r="U5" s="1"/>
      <c r="V5" s="1"/>
      <c r="W5" s="1"/>
      <c r="X5" s="1"/>
      <c r="Y5" s="1"/>
      <c r="Z5" s="1"/>
    </row>
    <row r="6" ht="12.75" customHeight="1">
      <c r="A6" s="48"/>
      <c r="B6" s="47" t="s">
        <v>134</v>
      </c>
      <c r="C6" s="47">
        <f>MODE(OJTSummarized!$J$3:$J$84)</f>
        <v>9</v>
      </c>
      <c r="D6" s="47" t="s">
        <v>135</v>
      </c>
      <c r="E6" s="1"/>
      <c r="F6" s="1"/>
      <c r="G6" s="1"/>
      <c r="H6" s="1"/>
      <c r="I6" s="1"/>
      <c r="J6" s="1"/>
      <c r="K6" s="1"/>
      <c r="L6" s="1"/>
      <c r="M6" s="1"/>
      <c r="N6" s="1"/>
      <c r="O6" s="1"/>
      <c r="P6" s="1"/>
      <c r="Q6" s="1"/>
      <c r="R6" s="1"/>
      <c r="S6" s="1"/>
      <c r="T6" s="1"/>
      <c r="U6" s="1"/>
      <c r="V6" s="1"/>
      <c r="W6" s="1"/>
      <c r="X6" s="1"/>
      <c r="Y6" s="1"/>
      <c r="Z6" s="1"/>
    </row>
    <row r="7" ht="12.75" customHeight="1">
      <c r="A7" s="48"/>
      <c r="B7" s="47" t="s">
        <v>136</v>
      </c>
      <c r="C7" s="49">
        <f>_xlfn.STDEV.S(OJTSummarized!$J$3:$J$84)</f>
        <v>1.413361626</v>
      </c>
      <c r="D7" s="47" t="s">
        <v>137</v>
      </c>
      <c r="E7" s="1"/>
      <c r="F7" s="1"/>
      <c r="G7" s="1"/>
      <c r="H7" s="1"/>
      <c r="I7" s="1"/>
      <c r="J7" s="1"/>
      <c r="K7" s="1"/>
      <c r="L7" s="1"/>
      <c r="M7" s="1"/>
      <c r="N7" s="1"/>
      <c r="O7" s="1"/>
      <c r="P7" s="1"/>
      <c r="Q7" s="1"/>
      <c r="R7" s="1"/>
      <c r="S7" s="1"/>
      <c r="T7" s="1"/>
      <c r="U7" s="1"/>
      <c r="V7" s="1"/>
      <c r="W7" s="1"/>
      <c r="X7" s="1"/>
      <c r="Y7" s="1"/>
      <c r="Z7" s="1"/>
    </row>
    <row r="8" ht="12.75" customHeight="1">
      <c r="A8" s="48" t="s">
        <v>139</v>
      </c>
      <c r="B8" s="47" t="s">
        <v>140</v>
      </c>
      <c r="C8" s="49">
        <f>_xlfn.VAR.S(OJTSummarized!$J$3:$J$982)</f>
        <v>1.997591087</v>
      </c>
      <c r="D8" s="47" t="s">
        <v>142</v>
      </c>
      <c r="E8" s="1"/>
      <c r="F8" s="1"/>
      <c r="G8" s="1"/>
      <c r="H8" s="1"/>
      <c r="I8" s="1"/>
      <c r="J8" s="1"/>
      <c r="K8" s="1"/>
      <c r="L8" s="1"/>
      <c r="M8" s="1"/>
      <c r="N8" s="1"/>
      <c r="O8" s="1"/>
      <c r="P8" s="1"/>
      <c r="Q8" s="1"/>
      <c r="R8" s="1"/>
      <c r="S8" s="1"/>
      <c r="T8" s="1"/>
      <c r="U8" s="1"/>
      <c r="V8" s="1"/>
      <c r="W8" s="1"/>
      <c r="X8" s="1"/>
      <c r="Y8" s="1"/>
      <c r="Z8" s="1"/>
    </row>
    <row r="9" ht="12.75" customHeight="1">
      <c r="A9" s="48"/>
      <c r="B9" s="47" t="s">
        <v>143</v>
      </c>
      <c r="C9" s="49">
        <f>KURT(OJTSummarized!$J$3:$J$84)</f>
        <v>-0.9156844784</v>
      </c>
      <c r="D9" s="47" t="s">
        <v>144</v>
      </c>
      <c r="E9" s="1"/>
      <c r="F9" s="1"/>
      <c r="G9" s="1"/>
      <c r="H9" s="1"/>
      <c r="I9" s="1"/>
      <c r="J9" s="1"/>
      <c r="K9" s="1"/>
      <c r="L9" s="1"/>
      <c r="M9" s="1"/>
      <c r="N9" s="1"/>
      <c r="O9" s="1"/>
      <c r="P9" s="1"/>
      <c r="Q9" s="1"/>
      <c r="R9" s="1"/>
      <c r="S9" s="1"/>
      <c r="T9" s="1"/>
      <c r="U9" s="1"/>
      <c r="V9" s="1"/>
      <c r="W9" s="1"/>
      <c r="X9" s="1"/>
      <c r="Y9" s="1"/>
      <c r="Z9" s="1"/>
    </row>
    <row r="10" ht="12.75" customHeight="1">
      <c r="A10" s="48"/>
      <c r="B10" s="47" t="s">
        <v>145</v>
      </c>
      <c r="C10" s="49">
        <f>SKEW(OJTSummarized!$J$3:$J$84)</f>
        <v>-0.4647384795</v>
      </c>
      <c r="D10" s="47" t="s">
        <v>146</v>
      </c>
      <c r="E10" s="1"/>
      <c r="F10" s="1"/>
      <c r="G10" s="1"/>
      <c r="H10" s="1"/>
      <c r="I10" s="1"/>
      <c r="J10" s="1"/>
      <c r="K10" s="1"/>
      <c r="L10" s="1"/>
      <c r="M10" s="1"/>
      <c r="N10" s="1"/>
      <c r="O10" s="1"/>
      <c r="P10" s="1"/>
      <c r="Q10" s="1"/>
      <c r="R10" s="1"/>
      <c r="S10" s="1"/>
      <c r="T10" s="1"/>
      <c r="U10" s="1"/>
      <c r="V10" s="1"/>
      <c r="W10" s="1"/>
      <c r="X10" s="1"/>
      <c r="Y10" s="1"/>
      <c r="Z10" s="1"/>
    </row>
    <row r="11" ht="12.75" customHeight="1">
      <c r="A11" s="48"/>
      <c r="B11" s="47" t="s">
        <v>148</v>
      </c>
      <c r="C11" s="58">
        <f>MAX(OJTSummarized!$J$3:$J$84)-MIN(OJTSummarized!$J$3:$J$84)</f>
        <v>5</v>
      </c>
      <c r="D11" s="47" t="s">
        <v>149</v>
      </c>
      <c r="E11" s="1"/>
      <c r="F11" s="1"/>
      <c r="G11" s="1"/>
      <c r="H11" s="1"/>
      <c r="I11" s="1"/>
      <c r="J11" s="1"/>
      <c r="K11" s="1"/>
      <c r="L11" s="1"/>
      <c r="M11" s="1"/>
      <c r="N11" s="1"/>
      <c r="O11" s="1"/>
      <c r="P11" s="1"/>
      <c r="Q11" s="1"/>
      <c r="R11" s="1"/>
      <c r="S11" s="1"/>
      <c r="T11" s="1"/>
      <c r="U11" s="1"/>
      <c r="V11" s="1"/>
      <c r="W11" s="1"/>
      <c r="X11" s="1"/>
      <c r="Y11" s="1"/>
      <c r="Z11" s="1"/>
    </row>
    <row r="12" ht="12.75" customHeight="1">
      <c r="A12" s="48"/>
      <c r="B12" s="47" t="s">
        <v>151</v>
      </c>
      <c r="C12" s="58">
        <f>MIN(OJTSummarized!$J$3:$J$84)</f>
        <v>5</v>
      </c>
      <c r="D12" s="47" t="s">
        <v>152</v>
      </c>
      <c r="E12" s="1"/>
      <c r="F12" s="1"/>
      <c r="G12" s="1"/>
      <c r="H12" s="1"/>
      <c r="I12" s="1"/>
      <c r="J12" s="1"/>
      <c r="K12" s="1"/>
      <c r="L12" s="1"/>
      <c r="M12" s="1"/>
      <c r="N12" s="1"/>
      <c r="O12" s="1"/>
      <c r="P12" s="1"/>
      <c r="Q12" s="1"/>
      <c r="R12" s="1"/>
      <c r="S12" s="1"/>
      <c r="T12" s="1"/>
      <c r="U12" s="1"/>
      <c r="V12" s="1"/>
      <c r="W12" s="1"/>
      <c r="X12" s="1"/>
      <c r="Y12" s="1"/>
      <c r="Z12" s="1"/>
    </row>
    <row r="13" ht="12.75" customHeight="1">
      <c r="A13" s="48"/>
      <c r="B13" s="47" t="s">
        <v>153</v>
      </c>
      <c r="C13" s="58">
        <f>MAX(OJTSummarized!$J$3:$J$84)</f>
        <v>10</v>
      </c>
      <c r="D13" s="47" t="s">
        <v>156</v>
      </c>
      <c r="E13" s="1"/>
      <c r="F13" s="1"/>
      <c r="G13" s="1"/>
      <c r="H13" s="1"/>
      <c r="I13" s="1"/>
      <c r="J13" s="1"/>
      <c r="K13" s="1"/>
      <c r="L13" s="1"/>
      <c r="M13" s="1"/>
      <c r="N13" s="1"/>
      <c r="O13" s="1"/>
      <c r="P13" s="1"/>
      <c r="Q13" s="1"/>
      <c r="R13" s="1"/>
      <c r="S13" s="1"/>
      <c r="T13" s="1"/>
      <c r="U13" s="1"/>
      <c r="V13" s="1"/>
      <c r="W13" s="1"/>
      <c r="X13" s="1"/>
      <c r="Y13" s="1"/>
      <c r="Z13" s="1"/>
    </row>
    <row r="14" ht="12.75" customHeight="1">
      <c r="A14" s="48"/>
      <c r="B14" s="47" t="s">
        <v>157</v>
      </c>
      <c r="C14" s="58">
        <f>SUM(OJTSummarized!$J$3:$J$84)</f>
        <v>660</v>
      </c>
      <c r="D14" s="47" t="s">
        <v>158</v>
      </c>
      <c r="E14" s="1"/>
      <c r="F14" s="1"/>
      <c r="G14" s="1"/>
      <c r="H14" s="1"/>
      <c r="I14" s="1"/>
      <c r="J14" s="1"/>
      <c r="K14" s="1"/>
      <c r="L14" s="1"/>
      <c r="M14" s="1"/>
      <c r="N14" s="1"/>
      <c r="O14" s="1"/>
      <c r="P14" s="1"/>
      <c r="Q14" s="1"/>
      <c r="R14" s="1"/>
      <c r="S14" s="1"/>
      <c r="T14" s="1"/>
      <c r="U14" s="1"/>
      <c r="V14" s="1"/>
      <c r="W14" s="1"/>
      <c r="X14" s="1"/>
      <c r="Y14" s="1"/>
      <c r="Z14" s="1"/>
    </row>
    <row r="15" ht="12.75" customHeight="1">
      <c r="E15" s="1"/>
      <c r="F15" s="1"/>
      <c r="G15" s="1"/>
      <c r="H15" s="1"/>
      <c r="I15" s="1"/>
      <c r="J15" s="1"/>
      <c r="K15" s="1"/>
      <c r="L15" s="1"/>
      <c r="M15" s="1"/>
      <c r="N15" s="1"/>
      <c r="O15" s="1"/>
      <c r="P15" s="1"/>
      <c r="Q15" s="1"/>
      <c r="R15" s="1"/>
      <c r="S15" s="1"/>
      <c r="T15" s="1"/>
      <c r="U15" s="1"/>
      <c r="V15" s="1"/>
      <c r="W15" s="1"/>
      <c r="X15" s="1"/>
      <c r="Y15" s="1"/>
      <c r="Z15" s="1"/>
    </row>
    <row r="16" ht="12.75" customHeight="1">
      <c r="A16" s="59"/>
      <c r="B16" s="47" t="s">
        <v>121</v>
      </c>
      <c r="C16" s="47">
        <f>COUNT(OJTSummarized!$M$3:$M$84)</f>
        <v>82</v>
      </c>
      <c r="D16" s="47" t="s">
        <v>125</v>
      </c>
      <c r="E16" s="1"/>
      <c r="F16" s="1"/>
      <c r="G16" s="1"/>
      <c r="H16" s="1"/>
      <c r="I16" s="1"/>
      <c r="J16" s="1"/>
      <c r="K16" s="1"/>
      <c r="L16" s="1"/>
      <c r="M16" s="1"/>
      <c r="N16" s="1"/>
      <c r="O16" s="1"/>
      <c r="P16" s="1"/>
      <c r="Q16" s="1"/>
      <c r="R16" s="1"/>
      <c r="S16" s="1"/>
      <c r="T16" s="1"/>
      <c r="U16" s="1"/>
      <c r="V16" s="1"/>
      <c r="W16" s="1"/>
      <c r="X16" s="1"/>
      <c r="Y16" s="1"/>
      <c r="Z16" s="1"/>
    </row>
    <row r="17" ht="12.75" customHeight="1">
      <c r="A17" s="60"/>
      <c r="B17" s="47" t="s">
        <v>126</v>
      </c>
      <c r="C17" s="49">
        <f>AVERAGE(OJTSummarized!$M$3:$M$84)</f>
        <v>3.87804878</v>
      </c>
      <c r="D17" s="47" t="s">
        <v>127</v>
      </c>
      <c r="E17" s="1"/>
      <c r="F17" s="1"/>
      <c r="G17" s="1"/>
      <c r="H17" s="1"/>
      <c r="I17" s="1"/>
      <c r="J17" s="1"/>
      <c r="K17" s="1"/>
      <c r="L17" s="1"/>
      <c r="M17" s="1"/>
      <c r="N17" s="1"/>
      <c r="O17" s="1"/>
      <c r="P17" s="1"/>
      <c r="Q17" s="1"/>
      <c r="R17" s="1"/>
      <c r="S17" s="1"/>
      <c r="T17" s="1"/>
      <c r="U17" s="1"/>
      <c r="V17" s="1"/>
      <c r="W17" s="1"/>
      <c r="X17" s="1"/>
      <c r="Y17" s="1"/>
      <c r="Z17" s="1"/>
    </row>
    <row r="18" ht="12.75" customHeight="1">
      <c r="A18" s="60"/>
      <c r="B18" s="47" t="s">
        <v>128</v>
      </c>
      <c r="C18" s="49">
        <f>_xlfn.STDEV.S(OJTSummarized!$M$3:$M$84)/SQRT(COUNT(OJTSummarized!$M$3:$M$84))</f>
        <v>0.07835681461</v>
      </c>
      <c r="D18" s="47" t="s">
        <v>129</v>
      </c>
      <c r="E18" s="1"/>
      <c r="F18" s="1"/>
      <c r="G18" s="1"/>
      <c r="H18" s="1"/>
      <c r="I18" s="1"/>
      <c r="J18" s="1"/>
      <c r="K18" s="1"/>
      <c r="L18" s="1"/>
      <c r="M18" s="1"/>
      <c r="N18" s="1"/>
      <c r="O18" s="1"/>
      <c r="P18" s="1"/>
      <c r="Q18" s="1"/>
      <c r="R18" s="1"/>
      <c r="S18" s="1"/>
      <c r="T18" s="1"/>
      <c r="U18" s="1"/>
      <c r="V18" s="1"/>
      <c r="W18" s="1"/>
      <c r="X18" s="1"/>
      <c r="Y18" s="1"/>
      <c r="Z18" s="1"/>
    </row>
    <row r="19" ht="12.75" customHeight="1">
      <c r="A19" s="60"/>
      <c r="B19" s="47" t="s">
        <v>131</v>
      </c>
      <c r="C19" s="47">
        <f>MEDIAN(OJTSummarized!$M$3:$M$84)</f>
        <v>4</v>
      </c>
      <c r="D19" s="47" t="s">
        <v>133</v>
      </c>
      <c r="E19" s="1"/>
      <c r="F19" s="1"/>
      <c r="G19" s="1"/>
      <c r="H19" s="1"/>
      <c r="I19" s="1"/>
      <c r="J19" s="1"/>
      <c r="K19" s="1"/>
      <c r="L19" s="1"/>
      <c r="M19" s="1"/>
      <c r="N19" s="1"/>
      <c r="O19" s="1"/>
      <c r="P19" s="1"/>
      <c r="Q19" s="1"/>
      <c r="R19" s="1"/>
      <c r="S19" s="1"/>
      <c r="T19" s="1"/>
      <c r="U19" s="1"/>
      <c r="V19" s="1"/>
      <c r="W19" s="1"/>
      <c r="X19" s="1"/>
      <c r="Y19" s="1"/>
      <c r="Z19" s="1"/>
    </row>
    <row r="20" ht="12.75" customHeight="1">
      <c r="A20" s="60"/>
      <c r="B20" s="47" t="s">
        <v>134</v>
      </c>
      <c r="C20" s="47">
        <f>MODE(OJTSummarized!$M$3:$M$84)</f>
        <v>4</v>
      </c>
      <c r="D20" s="47" t="s">
        <v>135</v>
      </c>
      <c r="E20" s="1"/>
      <c r="F20" s="1"/>
      <c r="G20" s="1"/>
      <c r="H20" s="1"/>
      <c r="I20" s="1"/>
      <c r="J20" s="1"/>
      <c r="K20" s="1"/>
      <c r="L20" s="1"/>
      <c r="M20" s="1"/>
      <c r="N20" s="1"/>
      <c r="O20" s="1"/>
      <c r="P20" s="1"/>
      <c r="Q20" s="1"/>
      <c r="R20" s="1"/>
      <c r="S20" s="1"/>
      <c r="T20" s="1"/>
      <c r="U20" s="1"/>
      <c r="V20" s="1"/>
      <c r="W20" s="1"/>
      <c r="X20" s="1"/>
      <c r="Y20" s="1"/>
      <c r="Z20" s="1"/>
    </row>
    <row r="21" ht="12.75" customHeight="1">
      <c r="A21" s="60"/>
      <c r="B21" s="47" t="s">
        <v>136</v>
      </c>
      <c r="C21" s="49">
        <f>_xlfn.STDEV.S(OJTSummarized!$M$3:$M$84)</f>
        <v>0.7095511345</v>
      </c>
      <c r="D21" s="47" t="s">
        <v>137</v>
      </c>
      <c r="E21" s="1"/>
      <c r="F21" s="1"/>
      <c r="G21" s="1"/>
      <c r="H21" s="1"/>
      <c r="I21" s="1"/>
      <c r="J21" s="1"/>
      <c r="K21" s="1"/>
      <c r="L21" s="1"/>
      <c r="M21" s="1"/>
      <c r="N21" s="1"/>
      <c r="O21" s="1"/>
      <c r="P21" s="1"/>
      <c r="Q21" s="1"/>
      <c r="R21" s="1"/>
      <c r="S21" s="1"/>
      <c r="T21" s="1"/>
      <c r="U21" s="1"/>
      <c r="V21" s="1"/>
      <c r="W21" s="1"/>
      <c r="X21" s="1"/>
      <c r="Y21" s="1"/>
      <c r="Z21" s="1"/>
    </row>
    <row r="22" ht="12.75" customHeight="1">
      <c r="A22" s="60" t="s">
        <v>165</v>
      </c>
      <c r="B22" s="47" t="s">
        <v>140</v>
      </c>
      <c r="C22" s="49">
        <f>_xlfn.VAR.S(OJTSummarized!$M$3:$M$84)</f>
        <v>0.5034628124</v>
      </c>
      <c r="D22" s="47" t="s">
        <v>142</v>
      </c>
      <c r="E22" s="1"/>
      <c r="F22" s="1"/>
      <c r="G22" s="1"/>
      <c r="H22" s="1"/>
      <c r="I22" s="1"/>
      <c r="J22" s="1"/>
      <c r="K22" s="1"/>
      <c r="L22" s="1"/>
      <c r="M22" s="1"/>
      <c r="N22" s="1"/>
      <c r="O22" s="1"/>
      <c r="P22" s="1"/>
      <c r="Q22" s="1"/>
      <c r="R22" s="1"/>
      <c r="S22" s="1"/>
      <c r="T22" s="1"/>
      <c r="U22" s="1"/>
      <c r="V22" s="1"/>
      <c r="W22" s="1"/>
      <c r="X22" s="1"/>
      <c r="Y22" s="1"/>
      <c r="Z22" s="1"/>
    </row>
    <row r="23" ht="12.75" customHeight="1">
      <c r="A23" s="60"/>
      <c r="B23" s="47" t="s">
        <v>143</v>
      </c>
      <c r="C23" s="49">
        <f>KURT(OJTSummarized!$M$3:$M$84)</f>
        <v>-0.4976903044</v>
      </c>
      <c r="D23" s="47" t="s">
        <v>144</v>
      </c>
      <c r="E23" s="1"/>
      <c r="F23" s="1"/>
      <c r="G23" s="1"/>
      <c r="H23" s="1"/>
      <c r="I23" s="1"/>
      <c r="J23" s="1"/>
      <c r="K23" s="1"/>
      <c r="L23" s="1"/>
      <c r="M23" s="1"/>
      <c r="N23" s="1"/>
      <c r="O23" s="1"/>
      <c r="P23" s="1"/>
      <c r="Q23" s="1"/>
      <c r="R23" s="1"/>
      <c r="S23" s="1"/>
      <c r="T23" s="1"/>
      <c r="U23" s="1"/>
      <c r="V23" s="1"/>
      <c r="W23" s="1"/>
      <c r="X23" s="1"/>
      <c r="Y23" s="1"/>
      <c r="Z23" s="1"/>
    </row>
    <row r="24" ht="12.75" customHeight="1">
      <c r="A24" s="60"/>
      <c r="B24" s="47" t="s">
        <v>145</v>
      </c>
      <c r="C24" s="49">
        <f>SKEW(OJTSummarized!$M$3:$M$84)</f>
        <v>-0.03299983699</v>
      </c>
      <c r="D24" s="47" t="s">
        <v>146</v>
      </c>
      <c r="E24" s="1"/>
      <c r="F24" s="1"/>
      <c r="G24" s="1"/>
      <c r="H24" s="1"/>
      <c r="I24" s="1"/>
      <c r="J24" s="1"/>
      <c r="K24" s="1"/>
      <c r="L24" s="1"/>
      <c r="M24" s="1"/>
      <c r="N24" s="1"/>
      <c r="O24" s="1"/>
      <c r="P24" s="1"/>
      <c r="Q24" s="1"/>
      <c r="R24" s="1"/>
      <c r="S24" s="1"/>
      <c r="T24" s="1"/>
      <c r="U24" s="1"/>
      <c r="V24" s="1"/>
      <c r="W24" s="1"/>
      <c r="X24" s="1"/>
      <c r="Y24" s="1"/>
      <c r="Z24" s="1"/>
    </row>
    <row r="25" ht="12.75" customHeight="1">
      <c r="A25" s="60"/>
      <c r="B25" s="47" t="s">
        <v>148</v>
      </c>
      <c r="C25" s="47">
        <f>MAX(OJTSummarized!$M$3:$M$84)-MIN(OJTSummarized!$M$3:$M$84)</f>
        <v>3</v>
      </c>
      <c r="D25" s="47" t="s">
        <v>149</v>
      </c>
      <c r="E25" s="1"/>
      <c r="F25" s="1"/>
      <c r="G25" s="1"/>
      <c r="H25" s="1"/>
      <c r="I25" s="1"/>
      <c r="J25" s="1"/>
      <c r="K25" s="1"/>
      <c r="L25" s="1"/>
      <c r="M25" s="1"/>
      <c r="N25" s="1"/>
      <c r="O25" s="1"/>
      <c r="P25" s="1"/>
      <c r="Q25" s="1"/>
      <c r="R25" s="1"/>
      <c r="S25" s="1"/>
      <c r="T25" s="1"/>
      <c r="U25" s="1"/>
      <c r="V25" s="1"/>
      <c r="W25" s="1"/>
      <c r="X25" s="1"/>
      <c r="Y25" s="1"/>
      <c r="Z25" s="1"/>
    </row>
    <row r="26" ht="12.75" customHeight="1">
      <c r="A26" s="60"/>
      <c r="B26" s="47" t="s">
        <v>151</v>
      </c>
      <c r="C26" s="47">
        <f>MIN(OJTSummarized!$M$3:$M$84)</f>
        <v>2</v>
      </c>
      <c r="D26" s="47" t="s">
        <v>152</v>
      </c>
      <c r="E26" s="1"/>
      <c r="F26" s="1"/>
      <c r="G26" s="1"/>
      <c r="H26" s="1"/>
      <c r="I26" s="1"/>
      <c r="J26" s="1"/>
      <c r="K26" s="1"/>
      <c r="L26" s="1"/>
      <c r="M26" s="1"/>
      <c r="N26" s="1"/>
      <c r="O26" s="1"/>
      <c r="P26" s="1"/>
      <c r="Q26" s="1"/>
      <c r="R26" s="1"/>
      <c r="S26" s="1"/>
      <c r="T26" s="1"/>
      <c r="U26" s="1"/>
      <c r="V26" s="1"/>
      <c r="W26" s="1"/>
      <c r="X26" s="1"/>
      <c r="Y26" s="1"/>
      <c r="Z26" s="1"/>
    </row>
    <row r="27" ht="12.75" customHeight="1">
      <c r="A27" s="60"/>
      <c r="B27" s="47" t="s">
        <v>153</v>
      </c>
      <c r="C27" s="47">
        <f>MAX(OJTSummarized!$M$3:$M$84)</f>
        <v>5</v>
      </c>
      <c r="D27" s="47" t="s">
        <v>156</v>
      </c>
      <c r="E27" s="1"/>
      <c r="F27" s="1"/>
      <c r="G27" s="1"/>
      <c r="H27" s="1"/>
      <c r="I27" s="1"/>
      <c r="J27" s="1"/>
      <c r="K27" s="1"/>
      <c r="L27" s="1"/>
      <c r="M27" s="1"/>
      <c r="N27" s="1"/>
      <c r="O27" s="1"/>
      <c r="P27" s="1"/>
      <c r="Q27" s="1"/>
      <c r="R27" s="1"/>
      <c r="S27" s="1"/>
      <c r="T27" s="1"/>
      <c r="U27" s="1"/>
      <c r="V27" s="1"/>
      <c r="W27" s="1"/>
      <c r="X27" s="1"/>
      <c r="Y27" s="1"/>
      <c r="Z27" s="1"/>
    </row>
    <row r="28" ht="12.75" customHeight="1">
      <c r="A28" s="60"/>
      <c r="B28" s="47" t="s">
        <v>157</v>
      </c>
      <c r="C28" s="47">
        <f>SUM(OJTSummarized!$M$3:$M$84)</f>
        <v>318</v>
      </c>
      <c r="D28" s="47" t="s">
        <v>158</v>
      </c>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62"/>
      <c r="B30" s="47" t="s">
        <v>121</v>
      </c>
      <c r="C30" s="47">
        <f>COUNT(OJTSummarized!$N$3:$N$84)</f>
        <v>82</v>
      </c>
      <c r="D30" s="47" t="s">
        <v>125</v>
      </c>
      <c r="E30" s="1"/>
      <c r="F30" s="1"/>
      <c r="G30" s="1"/>
      <c r="H30" s="1"/>
      <c r="I30" s="1"/>
      <c r="J30" s="1"/>
      <c r="K30" s="1"/>
      <c r="L30" s="1"/>
      <c r="M30" s="1"/>
      <c r="N30" s="1"/>
      <c r="O30" s="1"/>
      <c r="P30" s="1"/>
      <c r="Q30" s="1"/>
      <c r="R30" s="1"/>
      <c r="S30" s="1"/>
      <c r="T30" s="1"/>
      <c r="U30" s="1"/>
      <c r="V30" s="1"/>
      <c r="W30" s="1"/>
      <c r="X30" s="1"/>
      <c r="Y30" s="1"/>
      <c r="Z30" s="1"/>
    </row>
    <row r="31" ht="12.75" customHeight="1">
      <c r="A31" s="63"/>
      <c r="B31" s="47" t="s">
        <v>126</v>
      </c>
      <c r="C31" s="49">
        <f>AVERAGE(OJTSummarized!$N$3:$N$84)</f>
        <v>16.37804878</v>
      </c>
      <c r="D31" s="47" t="s">
        <v>127</v>
      </c>
      <c r="E31" s="1"/>
      <c r="F31" s="1"/>
      <c r="G31" s="1"/>
      <c r="H31" s="1"/>
      <c r="I31" s="1"/>
      <c r="J31" s="1"/>
      <c r="K31" s="1"/>
      <c r="L31" s="1"/>
      <c r="M31" s="1"/>
      <c r="N31" s="1"/>
      <c r="O31" s="1"/>
      <c r="P31" s="1"/>
      <c r="Q31" s="1"/>
      <c r="R31" s="1"/>
      <c r="S31" s="1"/>
      <c r="T31" s="1"/>
      <c r="U31" s="1"/>
      <c r="V31" s="1"/>
      <c r="W31" s="1"/>
      <c r="X31" s="1"/>
      <c r="Y31" s="1"/>
      <c r="Z31" s="1"/>
    </row>
    <row r="32" ht="12.75" customHeight="1">
      <c r="A32" s="63"/>
      <c r="B32" s="47" t="s">
        <v>128</v>
      </c>
      <c r="C32" s="49">
        <f>_xlfn.STDEV.S(OJTSummarized!$N$3:$N$84)/SQRT(COUNT(OJTSummarized!$N$3:$N$84))</f>
        <v>0.2673603466</v>
      </c>
      <c r="D32" s="47" t="s">
        <v>129</v>
      </c>
      <c r="E32" s="1"/>
      <c r="F32" s="1"/>
      <c r="G32" s="1"/>
      <c r="H32" s="1"/>
      <c r="I32" s="1"/>
      <c r="J32" s="1"/>
      <c r="K32" s="1"/>
      <c r="L32" s="1"/>
      <c r="M32" s="1"/>
      <c r="N32" s="1"/>
      <c r="O32" s="1"/>
      <c r="P32" s="1"/>
      <c r="Q32" s="1"/>
      <c r="R32" s="1"/>
      <c r="S32" s="1"/>
      <c r="T32" s="1"/>
      <c r="U32" s="1"/>
      <c r="V32" s="1"/>
      <c r="W32" s="1"/>
      <c r="X32" s="1"/>
      <c r="Y32" s="1"/>
      <c r="Z32" s="1"/>
    </row>
    <row r="33" ht="12.75" customHeight="1">
      <c r="A33" s="63"/>
      <c r="B33" s="47" t="s">
        <v>131</v>
      </c>
      <c r="C33" s="58">
        <f>MEDIAN(OJTSummarized!$N$3:$N$84)</f>
        <v>17</v>
      </c>
      <c r="D33" s="47" t="s">
        <v>133</v>
      </c>
      <c r="E33" s="1"/>
      <c r="F33" s="1"/>
      <c r="G33" s="1"/>
      <c r="H33" s="1"/>
      <c r="I33" s="1"/>
      <c r="J33" s="1"/>
      <c r="K33" s="1"/>
      <c r="L33" s="1"/>
      <c r="M33" s="1"/>
      <c r="N33" s="1"/>
      <c r="O33" s="1"/>
      <c r="P33" s="1"/>
      <c r="Q33" s="1"/>
      <c r="R33" s="1"/>
      <c r="S33" s="1"/>
      <c r="T33" s="1"/>
      <c r="U33" s="1"/>
      <c r="V33" s="1"/>
      <c r="W33" s="1"/>
      <c r="X33" s="1"/>
      <c r="Y33" s="1"/>
      <c r="Z33" s="1"/>
    </row>
    <row r="34" ht="12.75" customHeight="1">
      <c r="A34" s="63"/>
      <c r="B34" s="47" t="s">
        <v>134</v>
      </c>
      <c r="C34" s="47">
        <f>MODE(OJTSummarized!$M$3:$M$84)</f>
        <v>4</v>
      </c>
      <c r="D34" s="47" t="s">
        <v>135</v>
      </c>
      <c r="E34" s="1"/>
      <c r="F34" s="1"/>
      <c r="G34" s="1"/>
      <c r="H34" s="1"/>
      <c r="I34" s="1"/>
      <c r="J34" s="1"/>
      <c r="K34" s="1"/>
      <c r="L34" s="1"/>
      <c r="M34" s="1"/>
      <c r="N34" s="1"/>
      <c r="O34" s="1"/>
      <c r="P34" s="1"/>
      <c r="Q34" s="1"/>
      <c r="R34" s="1"/>
      <c r="S34" s="1"/>
      <c r="T34" s="1"/>
      <c r="U34" s="1"/>
      <c r="V34" s="1"/>
      <c r="W34" s="1"/>
      <c r="X34" s="1"/>
      <c r="Y34" s="1"/>
      <c r="Z34" s="1"/>
    </row>
    <row r="35" ht="12.75" customHeight="1">
      <c r="A35" s="63"/>
      <c r="B35" s="47" t="s">
        <v>136</v>
      </c>
      <c r="C35" s="49">
        <f>_xlfn.STDEV.S(OJTSummarized!$N$3:$N$84)</f>
        <v>2.421050909</v>
      </c>
      <c r="D35" s="47" t="s">
        <v>137</v>
      </c>
      <c r="E35" s="1"/>
      <c r="F35" s="1"/>
      <c r="G35" s="1"/>
      <c r="H35" s="1"/>
      <c r="I35" s="1"/>
      <c r="J35" s="1"/>
      <c r="K35" s="1"/>
      <c r="L35" s="1"/>
      <c r="M35" s="1"/>
      <c r="N35" s="1"/>
      <c r="O35" s="1"/>
      <c r="P35" s="1"/>
      <c r="Q35" s="1"/>
      <c r="R35" s="1"/>
      <c r="S35" s="1"/>
      <c r="T35" s="1"/>
      <c r="U35" s="1"/>
      <c r="V35" s="1"/>
      <c r="W35" s="1"/>
      <c r="X35" s="1"/>
      <c r="Y35" s="1"/>
      <c r="Z35" s="1"/>
    </row>
    <row r="36" ht="12.75" customHeight="1">
      <c r="A36" s="63" t="s">
        <v>180</v>
      </c>
      <c r="B36" s="47" t="s">
        <v>140</v>
      </c>
      <c r="C36" s="49">
        <f>_xlfn.VAR.S(OJTSummarized!$N$3:$N$84)</f>
        <v>5.861487504</v>
      </c>
      <c r="D36" s="47" t="s">
        <v>142</v>
      </c>
      <c r="E36" s="1"/>
      <c r="F36" s="1"/>
      <c r="G36" s="1"/>
      <c r="H36" s="1"/>
      <c r="I36" s="1"/>
      <c r="J36" s="1"/>
      <c r="K36" s="1"/>
      <c r="L36" s="1"/>
      <c r="M36" s="1"/>
      <c r="N36" s="1"/>
      <c r="O36" s="1"/>
      <c r="P36" s="1"/>
      <c r="Q36" s="1"/>
      <c r="R36" s="1"/>
      <c r="S36" s="1"/>
      <c r="T36" s="1"/>
      <c r="U36" s="1"/>
      <c r="V36" s="1"/>
      <c r="W36" s="1"/>
      <c r="X36" s="1"/>
      <c r="Y36" s="1"/>
      <c r="Z36" s="1"/>
    </row>
    <row r="37" ht="12.75" customHeight="1">
      <c r="A37" s="63"/>
      <c r="B37" s="47" t="s">
        <v>143</v>
      </c>
      <c r="C37" s="49">
        <f>KURT(OJTSummarized!$N$3:$N$84)</f>
        <v>-1.027708919</v>
      </c>
      <c r="D37" s="47" t="s">
        <v>144</v>
      </c>
      <c r="E37" s="1"/>
      <c r="F37" s="1"/>
      <c r="G37" s="1"/>
      <c r="H37" s="1"/>
      <c r="I37" s="1"/>
      <c r="J37" s="1"/>
      <c r="K37" s="1"/>
      <c r="L37" s="1"/>
      <c r="M37" s="1"/>
      <c r="N37" s="1"/>
      <c r="O37" s="1"/>
      <c r="P37" s="1"/>
      <c r="Q37" s="1"/>
      <c r="R37" s="1"/>
      <c r="S37" s="1"/>
      <c r="T37" s="1"/>
      <c r="U37" s="1"/>
      <c r="V37" s="1"/>
      <c r="W37" s="1"/>
      <c r="X37" s="1"/>
      <c r="Y37" s="1"/>
      <c r="Z37" s="1"/>
    </row>
    <row r="38" ht="12.75" customHeight="1">
      <c r="A38" s="63"/>
      <c r="B38" s="47" t="s">
        <v>145</v>
      </c>
      <c r="C38" s="49">
        <f>SKEW(OJTSummarized!$N$3:$N$84)</f>
        <v>-0.5761839675</v>
      </c>
      <c r="D38" s="47" t="s">
        <v>146</v>
      </c>
      <c r="E38" s="1"/>
      <c r="F38" s="1"/>
      <c r="G38" s="1"/>
      <c r="H38" s="1"/>
      <c r="I38" s="1"/>
      <c r="J38" s="1"/>
      <c r="K38" s="1"/>
      <c r="L38" s="1"/>
      <c r="M38" s="1"/>
      <c r="N38" s="1"/>
      <c r="O38" s="1"/>
      <c r="P38" s="1"/>
      <c r="Q38" s="1"/>
      <c r="R38" s="1"/>
      <c r="S38" s="1"/>
      <c r="T38" s="1"/>
      <c r="U38" s="1"/>
      <c r="V38" s="1"/>
      <c r="W38" s="1"/>
      <c r="X38" s="1"/>
      <c r="Y38" s="1"/>
      <c r="Z38" s="1"/>
    </row>
    <row r="39" ht="12.75" customHeight="1">
      <c r="A39" s="63"/>
      <c r="B39" s="47" t="s">
        <v>148</v>
      </c>
      <c r="C39" s="58">
        <f>MAX(OJTSummarized!$N$3:$N$84)-MIN(OJTSummarized!$N$3:$N$84)</f>
        <v>9</v>
      </c>
      <c r="D39" s="47" t="s">
        <v>149</v>
      </c>
      <c r="E39" s="1"/>
      <c r="F39" s="1"/>
      <c r="G39" s="1"/>
      <c r="H39" s="1"/>
      <c r="I39" s="1"/>
      <c r="J39" s="1"/>
      <c r="K39" s="1"/>
      <c r="L39" s="1"/>
      <c r="M39" s="1"/>
      <c r="N39" s="1"/>
      <c r="O39" s="1"/>
      <c r="P39" s="1"/>
      <c r="Q39" s="1"/>
      <c r="R39" s="1"/>
      <c r="S39" s="1"/>
      <c r="T39" s="1"/>
      <c r="U39" s="1"/>
      <c r="V39" s="1"/>
      <c r="W39" s="1"/>
      <c r="X39" s="1"/>
      <c r="Y39" s="1"/>
      <c r="Z39" s="1"/>
    </row>
    <row r="40" ht="12.75" customHeight="1">
      <c r="A40" s="63"/>
      <c r="B40" s="47" t="s">
        <v>151</v>
      </c>
      <c r="C40" s="58">
        <f>MIN(OJTSummarized!$N$3:$N$84)</f>
        <v>11</v>
      </c>
      <c r="D40" s="47" t="s">
        <v>152</v>
      </c>
      <c r="E40" s="1"/>
      <c r="F40" s="1"/>
      <c r="G40" s="1"/>
      <c r="H40" s="1"/>
      <c r="I40" s="1"/>
      <c r="J40" s="1"/>
      <c r="K40" s="1"/>
      <c r="L40" s="1"/>
      <c r="M40" s="1"/>
      <c r="N40" s="1"/>
      <c r="O40" s="1"/>
      <c r="P40" s="1"/>
      <c r="Q40" s="1"/>
      <c r="R40" s="1"/>
      <c r="S40" s="1"/>
      <c r="T40" s="1"/>
      <c r="U40" s="1"/>
      <c r="V40" s="1"/>
      <c r="W40" s="1"/>
      <c r="X40" s="1"/>
      <c r="Y40" s="1"/>
      <c r="Z40" s="1"/>
    </row>
    <row r="41" ht="12.75" customHeight="1">
      <c r="A41" s="63"/>
      <c r="B41" s="47" t="s">
        <v>153</v>
      </c>
      <c r="C41" s="58">
        <f>MAX(OJTSummarized!$N$3:$N$84)</f>
        <v>20</v>
      </c>
      <c r="D41" s="47" t="s">
        <v>156</v>
      </c>
      <c r="E41" s="1"/>
      <c r="F41" s="1"/>
      <c r="G41" s="1"/>
      <c r="H41" s="1"/>
      <c r="I41" s="1"/>
      <c r="J41" s="1"/>
      <c r="K41" s="1"/>
      <c r="L41" s="1"/>
      <c r="M41" s="1"/>
      <c r="N41" s="1"/>
      <c r="O41" s="1"/>
      <c r="P41" s="1"/>
      <c r="Q41" s="1"/>
      <c r="R41" s="1"/>
      <c r="S41" s="1"/>
      <c r="T41" s="1"/>
      <c r="U41" s="1"/>
      <c r="V41" s="1"/>
      <c r="W41" s="1"/>
      <c r="X41" s="1"/>
      <c r="Y41" s="1"/>
      <c r="Z41" s="1"/>
    </row>
    <row r="42" ht="12.75" customHeight="1">
      <c r="A42" s="63"/>
      <c r="B42" s="47" t="s">
        <v>157</v>
      </c>
      <c r="C42" s="58">
        <f>SUM(OJTSummarized!$N$3:$N$84)</f>
        <v>1343</v>
      </c>
      <c r="D42" s="47" t="s">
        <v>158</v>
      </c>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42.0"/>
    <col customWidth="1" min="5" max="6" width="8.63"/>
  </cols>
  <sheetData>
    <row r="1" ht="14.25" customHeight="1">
      <c r="A1" s="45" t="s">
        <v>118</v>
      </c>
      <c r="B1" s="66" t="s">
        <v>207</v>
      </c>
      <c r="C1" s="67" t="s">
        <v>209</v>
      </c>
      <c r="D1" s="68" t="s">
        <v>211</v>
      </c>
      <c r="E1" s="1"/>
      <c r="F1" s="1"/>
      <c r="G1" s="1"/>
      <c r="H1" s="1"/>
      <c r="I1" s="1"/>
      <c r="J1" s="1"/>
      <c r="K1" s="1"/>
      <c r="L1" s="1"/>
      <c r="M1" s="1"/>
      <c r="N1" s="1"/>
      <c r="O1" s="1"/>
      <c r="P1" s="1"/>
      <c r="Q1" s="1"/>
      <c r="R1" s="1"/>
      <c r="S1" s="1"/>
      <c r="T1" s="1"/>
      <c r="U1" s="1"/>
      <c r="V1" s="1"/>
      <c r="W1" s="1"/>
      <c r="X1" s="1"/>
      <c r="Y1" s="1"/>
      <c r="Z1" s="1"/>
    </row>
    <row r="2" ht="12.75" customHeight="1">
      <c r="A2" s="47" t="s">
        <v>126</v>
      </c>
      <c r="B2" s="49">
        <f>AVERAGE(OJTSummarized!$J$3:$J$982)</f>
        <v>8.048780488</v>
      </c>
      <c r="C2" s="49">
        <f>AVERAGE(OJTSummarized!$M$3:$M$982)</f>
        <v>3.87804878</v>
      </c>
      <c r="D2" s="49">
        <f>AVERAGE(OJTSummarized!$N$3:$N$982)</f>
        <v>16.37804878</v>
      </c>
      <c r="E2" s="1"/>
      <c r="F2" s="1"/>
      <c r="G2" s="1"/>
      <c r="H2" s="1"/>
      <c r="I2" s="1"/>
      <c r="J2" s="1"/>
      <c r="K2" s="1"/>
      <c r="L2" s="1"/>
      <c r="M2" s="1"/>
      <c r="N2" s="1"/>
      <c r="O2" s="1"/>
      <c r="P2" s="1"/>
      <c r="Q2" s="1"/>
      <c r="R2" s="1"/>
      <c r="S2" s="1"/>
      <c r="T2" s="1"/>
      <c r="U2" s="1"/>
      <c r="V2" s="1"/>
      <c r="W2" s="1"/>
      <c r="X2" s="1"/>
      <c r="Y2" s="1"/>
      <c r="Z2" s="1"/>
    </row>
    <row r="3" ht="12.75" customHeight="1">
      <c r="A3" s="47" t="s">
        <v>128</v>
      </c>
      <c r="B3" s="49">
        <f>_xlfn.STDEV.S(OJTSummarized!$J$3:$J$982)/SQRT(COUNT(OJTSummarized!$J$3:$J$982))</f>
        <v>0.1560796813</v>
      </c>
      <c r="C3" s="49">
        <f>_xlfn.STDEV.S(OJTSummarized!$M$3:$M$982)/SQRT(COUNT(OJTSummarized!$M$3:$M$982))</f>
        <v>0.07835681461</v>
      </c>
      <c r="D3" s="49">
        <f>_xlfn.STDEV.S(OJTSummarized!$N$3:$N$982)/SQRT(COUNT(OJTSummarized!$N$3:$N$982))</f>
        <v>0.2673603466</v>
      </c>
      <c r="E3" s="1"/>
      <c r="F3" s="1"/>
      <c r="G3" s="1"/>
      <c r="H3" s="1"/>
      <c r="I3" s="1"/>
      <c r="J3" s="1"/>
      <c r="K3" s="1"/>
      <c r="L3" s="1"/>
      <c r="M3" s="1"/>
      <c r="N3" s="1"/>
      <c r="O3" s="1"/>
      <c r="P3" s="1"/>
      <c r="Q3" s="1"/>
      <c r="R3" s="1"/>
      <c r="S3" s="1"/>
      <c r="T3" s="1"/>
      <c r="U3" s="1"/>
      <c r="V3" s="1"/>
      <c r="W3" s="1"/>
      <c r="X3" s="1"/>
      <c r="Y3" s="1"/>
      <c r="Z3" s="1"/>
    </row>
    <row r="4" ht="12.75" customHeight="1">
      <c r="A4" s="47" t="s">
        <v>131</v>
      </c>
      <c r="B4" s="49">
        <f>MEDIAN(OJTSummarized!$J$3:$J$982)</f>
        <v>8</v>
      </c>
      <c r="C4" s="49">
        <f>MEDIAN(OJTSummarized!$M$3:$M$982)</f>
        <v>4</v>
      </c>
      <c r="D4" s="49">
        <f>MEDIAN(OJTSummarized!$N$3:$N$982)</f>
        <v>17</v>
      </c>
      <c r="E4" s="1"/>
      <c r="F4" s="1"/>
      <c r="G4" s="1"/>
      <c r="H4" s="1"/>
      <c r="I4" s="1"/>
      <c r="J4" s="1"/>
      <c r="K4" s="1"/>
      <c r="L4" s="1"/>
      <c r="M4" s="1"/>
      <c r="N4" s="1"/>
      <c r="O4" s="1"/>
      <c r="P4" s="1"/>
      <c r="Q4" s="1"/>
      <c r="R4" s="1"/>
      <c r="S4" s="1"/>
      <c r="T4" s="1"/>
      <c r="U4" s="1"/>
      <c r="V4" s="1"/>
      <c r="W4" s="1"/>
      <c r="X4" s="1"/>
      <c r="Y4" s="1"/>
      <c r="Z4" s="1"/>
    </row>
    <row r="5" ht="12.75" customHeight="1">
      <c r="A5" s="47" t="s">
        <v>134</v>
      </c>
      <c r="B5" s="49">
        <f>MODE(OJTSummarized!$M$3:$M$982)</f>
        <v>4</v>
      </c>
      <c r="C5" s="49">
        <f>MODE(OJTSummarized!$M$3:$M$982)</f>
        <v>4</v>
      </c>
      <c r="D5" s="49">
        <f>MODE(OJTSummarized!$M$3:$M$982)</f>
        <v>4</v>
      </c>
      <c r="E5" s="1"/>
      <c r="F5" s="1"/>
      <c r="G5" s="1"/>
      <c r="H5" s="1"/>
      <c r="I5" s="1"/>
      <c r="J5" s="1"/>
      <c r="K5" s="1"/>
      <c r="L5" s="1"/>
      <c r="M5" s="1"/>
      <c r="N5" s="1"/>
      <c r="O5" s="1"/>
      <c r="P5" s="1"/>
      <c r="Q5" s="1"/>
      <c r="R5" s="1"/>
      <c r="S5" s="1"/>
      <c r="T5" s="1"/>
      <c r="U5" s="1"/>
      <c r="V5" s="1"/>
      <c r="W5" s="1"/>
      <c r="X5" s="1"/>
      <c r="Y5" s="1"/>
      <c r="Z5" s="1"/>
    </row>
    <row r="6" ht="12.75" customHeight="1">
      <c r="A6" s="47" t="s">
        <v>136</v>
      </c>
      <c r="B6" s="49">
        <f>_xlfn.STDEV.S(OJTSummarized!$J$3:$J$982)</f>
        <v>1.413361626</v>
      </c>
      <c r="C6" s="49">
        <f>_xlfn.STDEV.S(OJTSummarized!$M$3:$M$982)</f>
        <v>0.7095511345</v>
      </c>
      <c r="D6" s="49">
        <f>_xlfn.STDEV.S(OJTSummarized!$N$3:$N$982)</f>
        <v>2.421050909</v>
      </c>
      <c r="E6" s="1"/>
      <c r="F6" s="1"/>
      <c r="G6" s="1"/>
      <c r="H6" s="1"/>
      <c r="I6" s="1"/>
      <c r="J6" s="1"/>
      <c r="K6" s="1"/>
      <c r="L6" s="1"/>
      <c r="M6" s="1"/>
      <c r="N6" s="1"/>
      <c r="O6" s="1"/>
      <c r="P6" s="1"/>
      <c r="Q6" s="1"/>
      <c r="R6" s="1"/>
      <c r="S6" s="1"/>
      <c r="T6" s="1"/>
      <c r="U6" s="1"/>
      <c r="V6" s="1"/>
      <c r="W6" s="1"/>
      <c r="X6" s="1"/>
      <c r="Y6" s="1"/>
      <c r="Z6" s="1"/>
    </row>
    <row r="7" ht="12.75" customHeight="1">
      <c r="A7" s="47" t="s">
        <v>140</v>
      </c>
      <c r="B7" s="49">
        <f>_xlfn.VAR.S(OJTSummarized!$J$3:$J$982)</f>
        <v>1.997591087</v>
      </c>
      <c r="C7" s="49">
        <f>_xlfn.VAR.S(OJTSummarized!$M$3:$M$982)</f>
        <v>0.5034628124</v>
      </c>
      <c r="D7" s="49">
        <f>_xlfn.VAR.S(OJTSummarized!$N$3:$N$982)</f>
        <v>5.861487504</v>
      </c>
      <c r="E7" s="1"/>
      <c r="F7" s="1"/>
      <c r="G7" s="1"/>
      <c r="H7" s="1"/>
      <c r="I7" s="1"/>
      <c r="J7" s="1"/>
      <c r="K7" s="1"/>
      <c r="L7" s="1"/>
      <c r="M7" s="1"/>
      <c r="N7" s="1"/>
      <c r="O7" s="1"/>
      <c r="P7" s="1"/>
      <c r="Q7" s="1"/>
      <c r="R7" s="1"/>
      <c r="S7" s="1"/>
      <c r="T7" s="1"/>
      <c r="U7" s="1"/>
      <c r="V7" s="1"/>
      <c r="W7" s="1"/>
      <c r="X7" s="1"/>
      <c r="Y7" s="1"/>
      <c r="Z7" s="1"/>
    </row>
    <row r="8" ht="12.75" customHeight="1">
      <c r="A8" s="47" t="s">
        <v>143</v>
      </c>
      <c r="B8" s="49">
        <f>KURT(OJTSummarized!$J$3:$J$982)</f>
        <v>-0.9156844784</v>
      </c>
      <c r="C8" s="49">
        <f>KURT(OJTSummarized!$M$3:$M$982)</f>
        <v>-0.4976903044</v>
      </c>
      <c r="D8" s="49">
        <f>KURT(OJTSummarized!$N$3:$N$982)</f>
        <v>-1.027708919</v>
      </c>
      <c r="E8" s="1"/>
      <c r="F8" s="1"/>
      <c r="G8" s="1"/>
      <c r="H8" s="1"/>
      <c r="I8" s="1"/>
      <c r="J8" s="1"/>
      <c r="K8" s="1"/>
      <c r="L8" s="1"/>
      <c r="M8" s="1"/>
      <c r="N8" s="1"/>
      <c r="O8" s="1"/>
      <c r="P8" s="1"/>
      <c r="Q8" s="1"/>
      <c r="R8" s="1"/>
      <c r="S8" s="1"/>
      <c r="T8" s="1"/>
      <c r="U8" s="1"/>
      <c r="V8" s="1"/>
      <c r="W8" s="1"/>
      <c r="X8" s="1"/>
      <c r="Y8" s="1"/>
      <c r="Z8" s="1"/>
    </row>
    <row r="9" ht="12.75" customHeight="1">
      <c r="A9" s="47" t="s">
        <v>145</v>
      </c>
      <c r="B9" s="49">
        <f>SKEW(OJTSummarized!$J$3:$J$982)</f>
        <v>-0.4647384795</v>
      </c>
      <c r="C9" s="49">
        <f>SKEW(OJTSummarized!$M$3:$M$982)</f>
        <v>-0.03299983699</v>
      </c>
      <c r="D9" s="49">
        <f>SKEW(OJTSummarized!$N$3:$N$982)</f>
        <v>-0.5761839675</v>
      </c>
      <c r="E9" s="1"/>
      <c r="F9" s="1"/>
      <c r="G9" s="1"/>
      <c r="H9" s="1"/>
      <c r="I9" s="1"/>
      <c r="J9" s="1"/>
      <c r="K9" s="1"/>
      <c r="L9" s="1"/>
      <c r="M9" s="1"/>
      <c r="N9" s="1"/>
      <c r="O9" s="1"/>
      <c r="P9" s="1"/>
      <c r="Q9" s="1"/>
      <c r="R9" s="1"/>
      <c r="S9" s="1"/>
      <c r="T9" s="1"/>
      <c r="U9" s="1"/>
      <c r="V9" s="1"/>
      <c r="W9" s="1"/>
      <c r="X9" s="1"/>
      <c r="Y9" s="1"/>
      <c r="Z9" s="1"/>
    </row>
    <row r="10" ht="12.75" customHeight="1">
      <c r="A10" s="47" t="s">
        <v>148</v>
      </c>
      <c r="B10" s="58">
        <f>MAX(OJTSummarized!$J$3:$J$982)-MIN(OJTSummarized!$J$3:$J$982)</f>
        <v>5</v>
      </c>
      <c r="C10" s="58">
        <f>MAX(OJTSummarized!$M$3:$M$982)-MIN(OJTSummarized!$M$3:$M$982)</f>
        <v>3</v>
      </c>
      <c r="D10" s="58">
        <f>MAX(OJTSummarized!$N$3:$N$982)-MIN(OJTSummarized!$N$3:$N$982)</f>
        <v>9</v>
      </c>
      <c r="E10" s="1"/>
      <c r="F10" s="1"/>
      <c r="G10" s="1"/>
      <c r="H10" s="1"/>
      <c r="I10" s="1"/>
      <c r="J10" s="1"/>
      <c r="K10" s="1"/>
      <c r="L10" s="1"/>
      <c r="M10" s="1"/>
      <c r="N10" s="1"/>
      <c r="O10" s="1"/>
      <c r="P10" s="1"/>
      <c r="Q10" s="1"/>
      <c r="R10" s="1"/>
      <c r="S10" s="1"/>
      <c r="T10" s="1"/>
      <c r="U10" s="1"/>
      <c r="V10" s="1"/>
      <c r="W10" s="1"/>
      <c r="X10" s="1"/>
      <c r="Y10" s="1"/>
      <c r="Z10" s="1"/>
    </row>
    <row r="11" ht="12.75" customHeight="1">
      <c r="A11" s="47" t="s">
        <v>151</v>
      </c>
      <c r="B11" s="58">
        <f>MIN(OJTSummarized!$J$3:$J$982)</f>
        <v>5</v>
      </c>
      <c r="C11" s="58">
        <f>MIN(OJTSummarized!$M$3:$M$982)</f>
        <v>2</v>
      </c>
      <c r="D11" s="58">
        <f>MIN(OJTSummarized!$N$3:$N$982)</f>
        <v>11</v>
      </c>
      <c r="E11" s="1"/>
      <c r="F11" s="1"/>
      <c r="G11" s="1"/>
      <c r="H11" s="1"/>
      <c r="I11" s="1"/>
      <c r="J11" s="1"/>
      <c r="K11" s="1"/>
      <c r="L11" s="1"/>
      <c r="M11" s="1"/>
      <c r="N11" s="1"/>
      <c r="O11" s="1"/>
      <c r="P11" s="1"/>
      <c r="Q11" s="1"/>
      <c r="R11" s="1"/>
      <c r="S11" s="1"/>
      <c r="T11" s="1"/>
      <c r="U11" s="1"/>
      <c r="V11" s="1"/>
      <c r="W11" s="1"/>
      <c r="X11" s="1"/>
      <c r="Y11" s="1"/>
      <c r="Z11" s="1"/>
    </row>
    <row r="12" ht="12.75" customHeight="1">
      <c r="A12" s="47" t="s">
        <v>153</v>
      </c>
      <c r="B12" s="58">
        <f>MAX(OJTSummarized!$J$3:$J$982)</f>
        <v>10</v>
      </c>
      <c r="C12" s="58">
        <f>MAX(OJTSummarized!$M$3:$M$982)</f>
        <v>5</v>
      </c>
      <c r="D12" s="58">
        <f>MAX(OJTSummarized!$N$3:$N$982)</f>
        <v>20</v>
      </c>
      <c r="E12" s="1"/>
      <c r="F12" s="1"/>
      <c r="G12" s="1"/>
      <c r="H12" s="1"/>
      <c r="I12" s="1"/>
      <c r="J12" s="1"/>
      <c r="K12" s="1"/>
      <c r="L12" s="1"/>
      <c r="M12" s="1"/>
      <c r="N12" s="1"/>
      <c r="O12" s="1"/>
      <c r="P12" s="1"/>
      <c r="Q12" s="1"/>
      <c r="R12" s="1"/>
      <c r="S12" s="1"/>
      <c r="T12" s="1"/>
      <c r="U12" s="1"/>
      <c r="V12" s="1"/>
      <c r="W12" s="1"/>
      <c r="X12" s="1"/>
      <c r="Y12" s="1"/>
      <c r="Z12" s="1"/>
    </row>
    <row r="13" ht="12.75" customHeight="1">
      <c r="A13" s="47" t="s">
        <v>157</v>
      </c>
      <c r="B13" s="58">
        <f>SUM(OJTSummarized!$J$3:$J$982)</f>
        <v>660</v>
      </c>
      <c r="C13" s="58">
        <f>SUM(OJTSummarized!$M$3:$M$982)</f>
        <v>318</v>
      </c>
      <c r="D13" s="58">
        <f>SUM(OJTSummarized!$N$3:$N$982)</f>
        <v>1343</v>
      </c>
      <c r="E13" s="1"/>
      <c r="F13" s="1"/>
      <c r="G13" s="1"/>
      <c r="H13" s="1"/>
      <c r="I13" s="1"/>
      <c r="J13" s="1"/>
      <c r="K13" s="1"/>
      <c r="L13" s="1"/>
      <c r="M13" s="1"/>
      <c r="N13" s="1"/>
      <c r="O13" s="1"/>
      <c r="P13" s="1"/>
      <c r="Q13" s="1"/>
      <c r="R13" s="1"/>
      <c r="S13" s="1"/>
      <c r="T13" s="1"/>
      <c r="U13" s="1"/>
      <c r="V13" s="1"/>
      <c r="W13" s="1"/>
      <c r="X13" s="1"/>
      <c r="Y13" s="1"/>
      <c r="Z13" s="1"/>
    </row>
    <row r="14" ht="12.75" customHeight="1">
      <c r="A14" s="47" t="s">
        <v>121</v>
      </c>
      <c r="B14" s="47">
        <f>COUNT(OJTSummarized!$J$3:$J$982)</f>
        <v>82</v>
      </c>
      <c r="C14" s="47">
        <f>COUNT(OJTSummarized!$M$3:$M$982)</f>
        <v>82</v>
      </c>
      <c r="D14" s="47">
        <f>COUNT(OJTSummarized!$N$3:$N$982)</f>
        <v>82</v>
      </c>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25"/>
    <col customWidth="1" min="2" max="2" width="29.0"/>
    <col customWidth="1" min="3" max="3" width="31.0"/>
    <col customWidth="1" min="4" max="4" width="35.0"/>
    <col customWidth="1" min="5" max="6" width="8.63"/>
  </cols>
  <sheetData>
    <row r="1">
      <c r="A1" s="69" t="s">
        <v>222</v>
      </c>
    </row>
    <row r="2">
      <c r="A2" s="70" t="s">
        <v>118</v>
      </c>
      <c r="B2" s="70" t="s">
        <v>223</v>
      </c>
      <c r="C2" s="70" t="s">
        <v>224</v>
      </c>
      <c r="D2" s="70" t="s">
        <v>225</v>
      </c>
    </row>
    <row r="3" ht="15.0" customHeight="1">
      <c r="A3" s="71" t="s">
        <v>226</v>
      </c>
      <c r="B3" s="72">
        <f>COUNT(OJTSummarized!J3:J84)</f>
        <v>82</v>
      </c>
      <c r="C3" s="72">
        <f>COUNT(OJTSummarized!M3:M84)</f>
        <v>82</v>
      </c>
      <c r="D3" s="72">
        <f>COUNT(OJTSummarized!N3:N84)</f>
        <v>82</v>
      </c>
    </row>
    <row r="4">
      <c r="A4" s="71" t="s">
        <v>126</v>
      </c>
      <c r="B4" s="73">
        <f>AVERAGE(OJTSummarized!J3:J84)</f>
        <v>8.048780488</v>
      </c>
      <c r="C4" s="73">
        <f>AVERAGE(OJTSummarized!M3:M84)</f>
        <v>3.87804878</v>
      </c>
      <c r="D4" s="73">
        <f>AVERAGE(OJTSummarized!N3:N84)</f>
        <v>16.37804878</v>
      </c>
    </row>
    <row r="5">
      <c r="A5" s="71" t="s">
        <v>131</v>
      </c>
      <c r="B5" s="73">
        <f>MEDIAN(OJTSummarized!J3:J84)</f>
        <v>8</v>
      </c>
      <c r="C5" s="73">
        <f>MEDIAN(OJTSummarized!M3:M84)</f>
        <v>4</v>
      </c>
      <c r="D5" s="73">
        <f>MEDIAN(OJTSummarized!N3:N84)</f>
        <v>17</v>
      </c>
    </row>
    <row r="6">
      <c r="A6" s="71" t="s">
        <v>134</v>
      </c>
      <c r="B6" s="73">
        <f>MODE(OJTSummarized!J3:J84)</f>
        <v>9</v>
      </c>
      <c r="C6" s="73">
        <f>MODE(OJTSummarized!M3:M84)</f>
        <v>4</v>
      </c>
      <c r="D6" s="73">
        <f>MODE(OJTSummarized!N3:N84)</f>
        <v>18</v>
      </c>
    </row>
    <row r="7">
      <c r="A7" s="71" t="s">
        <v>232</v>
      </c>
      <c r="B7" s="73">
        <f>_xlfn.STDEV.S(OJTSummarized!J3:J84)</f>
        <v>1.413361626</v>
      </c>
      <c r="C7" s="73">
        <f>_xlfn.STDEV.S(OJTSummarized!M3:M84)</f>
        <v>0.7095511345</v>
      </c>
      <c r="D7" s="73">
        <f>_xlfn.STDEV.S(OJTSummarized!N3:N84)</f>
        <v>2.421050909</v>
      </c>
    </row>
    <row r="8">
      <c r="A8" s="71" t="s">
        <v>235</v>
      </c>
      <c r="B8" s="73">
        <f>_xlfn.VAR.S(OJTSummarized!J3:J84)</f>
        <v>1.997591087</v>
      </c>
      <c r="C8" s="73">
        <f>_xlfn.VAR.S(OJTSummarized!M3:M84)</f>
        <v>0.5034628124</v>
      </c>
      <c r="D8" s="73">
        <f>_xlfn.VAR.S(OJTSummarized!N3:N84)</f>
        <v>5.861487504</v>
      </c>
    </row>
    <row r="9">
      <c r="A9" s="71" t="s">
        <v>151</v>
      </c>
      <c r="B9" s="73">
        <f>MIN(OJTSummarized!J3:J84)</f>
        <v>5</v>
      </c>
      <c r="C9" s="73">
        <f>MIN(OJTSummarized!M3:M84)</f>
        <v>2</v>
      </c>
      <c r="D9" s="73">
        <f>MIN(OJTSummarized!N3:N84)</f>
        <v>11</v>
      </c>
    </row>
    <row r="10">
      <c r="A10" s="71" t="s">
        <v>153</v>
      </c>
      <c r="B10" s="73">
        <f>MAX(OJTSummarized!J3:J84)</f>
        <v>10</v>
      </c>
      <c r="C10" s="73">
        <f>MAX(OJTSummarized!M3:M84)</f>
        <v>5</v>
      </c>
      <c r="D10" s="73">
        <f>MAX(OJTSummarized!N3:N84)</f>
        <v>20</v>
      </c>
    </row>
    <row r="11">
      <c r="A11" s="71" t="s">
        <v>148</v>
      </c>
      <c r="B11" s="73">
        <f>MAX(OJTSummarized!J3:J84)-MIN(OJTSummarized!J3:J84)</f>
        <v>5</v>
      </c>
      <c r="C11" s="73">
        <f>MAX(OJTSummarized!M3:M84)-MIN(OJTSummarized!M3:M84)</f>
        <v>3</v>
      </c>
      <c r="D11" s="73">
        <f>MAX(OJTSummarized!N3:N84)-MIN(OJTSummarized!N3:N84)</f>
        <v>9</v>
      </c>
    </row>
    <row r="12">
      <c r="A12" s="71" t="s">
        <v>240</v>
      </c>
      <c r="B12" s="73">
        <f>_xlfn.STDEV.S(OJTSummarized!J3:J84)/SQRT(COUNT(OJTSummarized!J3:J84))</f>
        <v>0.1560796813</v>
      </c>
      <c r="C12" s="73">
        <f>_xlfn.STDEV.S(OJTSummarized!M3:M84)/SQRT(COUNT(OJTSummarized!M3:M84))</f>
        <v>0.07835681461</v>
      </c>
      <c r="D12" s="73">
        <f>_xlfn.STDEV.S(OJTSummarized!N3:N84)/SQRT(COUNT(OJTSummarized!N3:N84))</f>
        <v>0.2673603466</v>
      </c>
    </row>
    <row r="14">
      <c r="A14" s="71"/>
      <c r="B14" s="71"/>
      <c r="C14" s="71"/>
      <c r="D14" s="71"/>
    </row>
    <row r="15">
      <c r="A15" s="78"/>
      <c r="B15" s="71"/>
      <c r="C15" s="71"/>
      <c r="D15" s="71"/>
    </row>
    <row r="16" ht="75.75" customHeight="1">
      <c r="A16" s="80" t="s">
        <v>242</v>
      </c>
      <c r="E16" s="78"/>
    </row>
    <row r="17" ht="15.75" customHeight="1"/>
    <row r="18">
      <c r="A18" s="82" t="s">
        <v>243</v>
      </c>
    </row>
    <row r="19">
      <c r="A19" s="1"/>
      <c r="B19" s="1"/>
      <c r="C19" s="1"/>
      <c r="D19" s="1"/>
    </row>
    <row r="20">
      <c r="A20" s="1"/>
      <c r="B20" s="1"/>
      <c r="C20" s="1"/>
      <c r="D20" s="1"/>
    </row>
    <row r="21" ht="76.5" customHeight="1">
      <c r="A21" s="82" t="s">
        <v>244</v>
      </c>
    </row>
    <row r="22" ht="15.75" customHeight="1">
      <c r="A22" s="1"/>
      <c r="B22" s="1"/>
      <c r="C22" s="1"/>
      <c r="D22" s="1"/>
    </row>
    <row r="23" ht="15.75" customHeight="1">
      <c r="A23" s="1"/>
      <c r="B23" s="1"/>
      <c r="C23" s="1"/>
      <c r="D23" s="1"/>
    </row>
    <row r="24" ht="15.75" customHeight="1">
      <c r="A24" s="1"/>
      <c r="B24" s="1"/>
      <c r="C24" s="1"/>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16:D16"/>
    <mergeCell ref="E16:F16"/>
    <mergeCell ref="A18:D18"/>
    <mergeCell ref="A21:D2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65.0"/>
    <col customWidth="1" min="4" max="6" width="8.63"/>
  </cols>
  <sheetData>
    <row r="1">
      <c r="A1" s="69" t="s">
        <v>245</v>
      </c>
    </row>
    <row r="2" ht="31.5" customHeight="1">
      <c r="A2" s="70" t="s">
        <v>246</v>
      </c>
      <c r="B2" s="70" t="s">
        <v>247</v>
      </c>
      <c r="C2" s="70" t="s">
        <v>248</v>
      </c>
    </row>
    <row r="3" ht="120.0" customHeight="1">
      <c r="A3" s="47" t="s">
        <v>249</v>
      </c>
      <c r="B3" s="83" t="s">
        <v>250</v>
      </c>
      <c r="C3" s="83" t="s">
        <v>251</v>
      </c>
    </row>
    <row r="4" ht="121.5" customHeight="1">
      <c r="A4" s="47" t="s">
        <v>252</v>
      </c>
      <c r="B4" s="83" t="s">
        <v>253</v>
      </c>
      <c r="C4" s="83" t="s">
        <v>254</v>
      </c>
    </row>
    <row r="5">
      <c r="A5" s="71"/>
      <c r="B5" s="71"/>
      <c r="C5" s="71"/>
    </row>
    <row r="6">
      <c r="A6" s="84"/>
      <c r="B6" s="71"/>
      <c r="C6" s="71"/>
    </row>
    <row r="7" ht="16.5" customHeight="1">
      <c r="A7" s="47"/>
      <c r="B7" s="47"/>
      <c r="C7" s="47"/>
    </row>
    <row r="8">
      <c r="A8" s="1"/>
      <c r="B8" s="1"/>
      <c r="C8" s="1"/>
    </row>
    <row r="9">
      <c r="A9" s="1"/>
      <c r="B9" s="1"/>
      <c r="C9" s="1"/>
    </row>
    <row r="10">
      <c r="A10" s="1"/>
      <c r="B10" s="1"/>
      <c r="C10" s="1"/>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